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7" activeTab="6"/>
  </bookViews>
  <sheets>
    <sheet name="00_Petunjuk" sheetId="1" r:id="rId1"/>
    <sheet name="01_Input" sheetId="2" r:id="rId2"/>
    <sheet name="02_Volume" sheetId="3" r:id="rId3"/>
    <sheet name="03_Proses" sheetId="4" r:id="rId4"/>
    <sheet name="04_Transmisi" sheetId="5" r:id="rId5"/>
    <sheet name="05_RAB" sheetId="6" r:id="rId6"/>
    <sheet name="06_Ringkasan" sheetId="7" r:id="rId7"/>
  </sheets>
  <definedNames>
    <definedName name="_xlnm._FilterDatabase" localSheetId="0" hidden="1">'01_Input'!$A$4:$E$39</definedName>
    <definedName name="_xlnm._FilterDatabase" localSheetId="4" hidden="1">'05_RAB'!$A$4:$I$28</definedName>
    <definedName name="_xlnm.Print_Titles" localSheetId="6">'00_Petunjuk'!$1:$4</definedName>
    <definedName name="_xlnm.Print_Titles" localSheetId="0">'01_Input'!$1:$4</definedName>
    <definedName name="_xlnm.Print_Titles" localSheetId="1">'02_Volume'!$1:$4</definedName>
    <definedName name="_xlnm.Print_Titles" localSheetId="2">'03_Proses'!$1:$4</definedName>
    <definedName name="_xlnm.Print_Titles" localSheetId="3">'04_Transmisi'!$1:$4</definedName>
    <definedName name="_xlnm.Print_Titles" localSheetId="4">'05_RAB'!$1:$4</definedName>
    <definedName name="_xlnm.Print_Titles" localSheetId="5">'06_Ringkasan'!$1:$4</definedName>
  </definedNames>
  <calcPr calcId="124519" fullCalcOnLoad="1"/>
</workbook>
</file>

<file path=xl/sharedStrings.xml><?xml version="1.0" encoding="utf-8"?>
<sst xmlns="http://schemas.openxmlformats.org/spreadsheetml/2006/main" count="455" uniqueCount="360">
  <si>
    <t>INPUT DESAIN &amp; PENGUJIAN</t>
  </si>
  <si>
    <t>Ubah sel kuning. Angka awal adalah contoh desain, bukan ukuran final atau rekomendasi dosis. Input kosong berarti belum tersedia.</t>
  </si>
  <si>
    <t>No</t>
  </si>
  <si>
    <t>Variabel</t>
  </si>
  <si>
    <t>Nilai input</t>
  </si>
  <si>
    <t>Satuan</t>
  </si>
  <si>
    <t>Dasar / cara mengisi</t>
  </si>
  <si>
    <t>Diameter dalam pengaduk</t>
  </si>
  <si>
    <t>cm</t>
  </si>
  <si>
    <t>Contoh tabung silinder horizontal; abaikan ruang yang diambil poros/paddle pada estimasi awal.</t>
  </si>
  <si>
    <t>Panjang dalam pengaduk</t>
  </si>
  <si>
    <t>Ukuran efektif bagian silinder; bukan panjang keseluruhan mesin.</t>
  </si>
  <si>
    <t>Fraksi pengisian kerja</t>
  </si>
  <si>
    <t>fraksi</t>
  </si>
  <si>
    <t>50% volume geometris sebagai titik awal; perlu uji gerak bahan.</t>
  </si>
  <si>
    <t>Volume wadah uji densitas</t>
  </si>
  <si>
    <t>liter</t>
  </si>
  <si>
    <t>Wajib memakai HASIL CACAHAN untuk menghitung massa batch mixer; angka awal hanya contoh.</t>
  </si>
  <si>
    <t>Massa wadah kosong</t>
  </si>
  <si>
    <t>kg</t>
  </si>
  <si>
    <t>Timbang dengan timbangan; angka awal contoh.</t>
  </si>
  <si>
    <t>Massa wadah + daun</t>
  </si>
  <si>
    <t>Angka awal contoh: massa daun bersih 0,5 kg per 10 liter.</t>
  </si>
  <si>
    <t>Waktu muat per batch</t>
  </si>
  <si>
    <t>menit</t>
  </si>
  <si>
    <t>Contoh; ganti dari pengamatan. Jangan hitung waktu yang sama dua kali.</t>
  </si>
  <si>
    <t>Waktu pencacahan per batch</t>
  </si>
  <si>
    <t>Contoh, bukan kapasitas pencacah yang sudah terverifikasi.</t>
  </si>
  <si>
    <t>Waktu campur SETELAH cacah selesai</t>
  </si>
  <si>
    <t>Durasi tambahan untuk pemberian cairan/pencampuran; pengaduk juga berputar selama pencacahan.</t>
  </si>
  <si>
    <t>Waktu bongkar dan bersihkan</t>
  </si>
  <si>
    <t>Dilakukan setelah motor mati dan aman; bukan durasi yang tumpang tindih dengan pencacahan.</t>
  </si>
  <si>
    <t>Jam kerja tersedia per hari</t>
  </si>
  <si>
    <t>jam/hari</t>
  </si>
  <si>
    <t>Untuk kapasitas pengolahan mekanis, bukan produksi kompos matang.</t>
  </si>
  <si>
    <t>Faktor utilisasi waktu</t>
  </si>
  <si>
    <t>Mengurangi waktu tersedia akibat jeda dan gangguan; jangan dihitung lagi pada waktu batch.</t>
  </si>
  <si>
    <t>Kadar air awal bahan</t>
  </si>
  <si>
    <t>fraksi basis basah</t>
  </si>
  <si>
    <t>Asumsi 10%; harus diukur/ditentukan. Bukan hasil pembacaan kelembapan udara.</t>
  </si>
  <si>
    <t>Target kadar air campuran</t>
  </si>
  <si>
    <t>55% hanya contoh perhitungan. Sesuaikan bahan dan proses pengomposan.</t>
  </si>
  <si>
    <t>Densitas cairan tambahan</t>
  </si>
  <si>
    <t>kg/liter</t>
  </si>
  <si>
    <t>Pendekatan untuk cairan berbasis air.</t>
  </si>
  <si>
    <t>Dosis EM4 dalam cairan akhir</t>
  </si>
  <si>
    <t>mL/liter</t>
  </si>
  <si>
    <t>Isi sesuai petunjuk produk dan rancangan proses; tidak ada dosis baku yang diasumsikan.</t>
  </si>
  <si>
    <t>Volume nominal tangki cairan</t>
  </si>
  <si>
    <t>Contoh; tambahkan ruang bebas pada desain tangki aktual.</t>
  </si>
  <si>
    <t>Putaran motor bersama</t>
  </si>
  <si>
    <t>rpm</t>
  </si>
  <si>
    <t>Satu motor membagi daya ke pencacah dan pengaduk. Putaran nominal dari pengguna.</t>
  </si>
  <si>
    <t>Daya poros nominal motor bersama</t>
  </si>
  <si>
    <t>kW</t>
  </si>
  <si>
    <t>0,5 hp × 0,7457 kW/hp. Periksa satuan hp/PS dan nameplate motor; bukan daya listrik masuk.</t>
  </si>
  <si>
    <t>Rasio reduksi gearbox</t>
  </si>
  <si>
    <t>i = n masuk/n keluar</t>
  </si>
  <si>
    <t>Contoh 50:1. Pilih sesuai rpm dan kapasitas torsi katalog.</t>
  </si>
  <si>
    <t>Diameter efektif pulley penggerak</t>
  </si>
  <si>
    <t>mm</t>
  </si>
  <si>
    <t>Asumsi belt tanpa slip. Jika sambungan langsung, gunakan diameter sama.</t>
  </si>
  <si>
    <t>Diameter efektif pulley digerakkan</t>
  </si>
  <si>
    <t>Untuk transmisi pengaduk; belum menghitung panjang/jumlah V-belt.</t>
  </si>
  <si>
    <t>Efisiensi gearbox</t>
  </si>
  <si>
    <t>Asumsi contoh, ganti data katalog pada rasio/beban terpilih.</t>
  </si>
  <si>
    <t>Efisiensi transmisi belt</t>
  </si>
  <si>
    <t>Asumsi contoh; bukan service factor.</t>
  </si>
  <si>
    <t>Batas bawah putaran pengaduk</t>
  </si>
  <si>
    <t>Rentang uji contoh; belum menjadi spesifikasi tervalidasi.</t>
  </si>
  <si>
    <t>Batas atas putaran pengaduk</t>
  </si>
  <si>
    <t>Rentang uji contoh; sesuaikan geometri dan kemampuan mengaduk.</t>
  </si>
  <si>
    <t>Torsi kerja hasil uji/perhitungan</t>
  </si>
  <si>
    <t>N·m</t>
  </si>
  <si>
    <t>Isi dari pengujian atau analisis beban. Jangan diisi dengan torsi nominal motor.</t>
  </si>
  <si>
    <t>Faktor kebutuhan torsi</t>
  </si>
  <si>
    <t>kali</t>
  </si>
  <si>
    <t>Contoh faktor untuk screening; starting/jam tetap memerlukan pemeriksaan terpisah.</t>
  </si>
  <si>
    <t>Cadangan biaya</t>
  </si>
  <si>
    <t>15% dari subtotal yang terisi; tidak menggantikan harga komponen yang masih kosong.</t>
  </si>
  <si>
    <t>Tumpang tindih waktu muat–cacah</t>
  </si>
  <si>
    <t>Contoh 3 menit; tidak boleh melebihi MIN(waktu muat, waktu cacah).</t>
  </si>
  <si>
    <t>Kebutuhan daya poros pencacah</t>
  </si>
  <si>
    <t>Isi dari uji/analisis pada kondisi berbeban. Bukan rating motor dan bukan angka rekaan.</t>
  </si>
  <si>
    <t>Efisiensi cabang pencacah</t>
  </si>
  <si>
    <t>Asumsi V-belt; ganti sesuai transmisi. Tidak termasuk rugi cabang pengaduk.</t>
  </si>
  <si>
    <t>Pulley penggerak cabang pencacah</t>
  </si>
  <si>
    <t>Dari motor/poros pembagi berputar sama dengan motor. Kosong sampai mekanisme pisau dirancang.</t>
  </si>
  <si>
    <t>Pulley digerakkan pencacah</t>
  </si>
  <si>
    <t>Untuk belt; bila rantai gunakan rasio jumlah gigi dan analisis terpisah.</t>
  </si>
  <si>
    <t>Batas anggaran proyek</t>
  </si>
  <si>
    <t>rupiah</t>
  </si>
  <si>
    <t>Dana total dari pengguna. Harga item tambahan belum tersedia.</t>
  </si>
  <si>
    <t>GEOMETRI &amp; KAPASITAS BATCH</t>
  </si>
  <si>
    <t>Hopper menjadi saluran pemasukan; kapasitas batch berdasarkan pengaduk silinder. Volume kerja diestimasi dari fraksi pengisian; belum mengurangi volume paddle/poros.</t>
  </si>
  <si>
    <t>Variabel hasil</t>
  </si>
  <si>
    <t>Hasil otomatis</t>
  </si>
  <si>
    <t>Persamaan</t>
  </si>
  <si>
    <t>Interpretasi / batasan</t>
  </si>
  <si>
    <t>Volume geometris pengaduk</t>
  </si>
  <si>
    <t>πD²L/4; m³ × 1000 → liter</t>
  </si>
  <si>
    <t>Untuk silinder; bukan volume luar mesin.</t>
  </si>
  <si>
    <t>Volume kerja per batch</t>
  </si>
  <si>
    <t>V kerja = V geometris × fraksi isi</t>
  </si>
  <si>
    <t>Perlu uji apakah pengaduk mampu membalik bahan.</t>
  </si>
  <si>
    <t>Ruang bebas nominal</t>
  </si>
  <si>
    <t>V bebas = V geometris − V kerja</t>
  </si>
  <si>
    <t>Belum memperhitungkan poros dan paddle.</t>
  </si>
  <si>
    <t>Massa daun bersih wadah</t>
  </si>
  <si>
    <t>m daun = m isi − m wadah</t>
  </si>
  <si>
    <t>Massa isi harus lebih besar daripada wadah kosong.</t>
  </si>
  <si>
    <t>Densitas curah daun</t>
  </si>
  <si>
    <t>kg/m³</t>
  </si>
  <si>
    <t>ρ = m daun / V wadah</t>
  </si>
  <si>
    <t>Jangan mencampur densitas daun utuh dan daun cacah.</t>
  </si>
  <si>
    <t>Estimasi massa bahan per batch</t>
  </si>
  <si>
    <t>kg/batch</t>
  </si>
  <si>
    <t>m batch = ρ × V kerja</t>
  </si>
  <si>
    <t>Massa awal sebelum penambahan cairan; belum menjamin kemampuan motor.</t>
  </si>
  <si>
    <t>Pemeriksaan input pengaduk</t>
  </si>
  <si>
    <t>status</t>
  </si>
  <si>
    <t>Hopper tidak menentukan kapasitas</t>
  </si>
  <si>
    <t>OK bukan validasi kemampuan mesin.</t>
  </si>
  <si>
    <t>WAKTU, CAIRAN &amp; KAPASITAS MEKANIS</t>
  </si>
  <si>
    <t>Bukan waktu menjadi kompos matang. Model cairan hanya untuk daun + cairan berbasis air, tanpa tambahan padatan lain atau kehilangan massa.</t>
  </si>
  <si>
    <t>Waktu total per batch</t>
  </si>
  <si>
    <t>menit/batch</t>
  </si>
  <si>
    <t>Muat + cacah − overlap + campur tambahan + bongkar</t>
  </si>
  <si>
    <t>Jika overlap di luar 0 sampai MIN(muat,cacah), hasil dikosongkan. Semua waktu masih contoh.</t>
  </si>
  <si>
    <t>Laju pengolahan saat beroperasi</t>
  </si>
  <si>
    <t>kg bahan awal/jam</t>
  </si>
  <si>
    <t>m batch × 60 / waktu batch</t>
  </si>
  <si>
    <t>Belum faktor utilisasi; bukan produksi kompos matang.</t>
  </si>
  <si>
    <t>Waktu efektif tersedia per hari</t>
  </si>
  <si>
    <t>menit/hari</t>
  </si>
  <si>
    <t>Jam tersedia × 60 × utilisasi</t>
  </si>
  <si>
    <t>Faktor utilisasi tidak dihitung ulang pada durasi batch.</t>
  </si>
  <si>
    <t>Batch utuh per hari</t>
  </si>
  <si>
    <t>batch/hari</t>
  </si>
  <si>
    <t>Bulatkan ke bawah waktu efektif / waktu batch</t>
  </si>
  <si>
    <t>Untuk batch utuh; sisa waktu tidak dihitung sebagai satu batch.</t>
  </si>
  <si>
    <t>Kapasitas harian batch utuh</t>
  </si>
  <si>
    <t>kg bahan awal/hari</t>
  </si>
  <si>
    <t>Jumlah batch utuh × massa awal per batch</t>
  </si>
  <si>
    <t>Bukan massa produk kompos jadi.</t>
  </si>
  <si>
    <t>Estimasi cairan untuk target kadar air</t>
  </si>
  <si>
    <t>m tambahan = m awal × (Xt − Xi)/(1 − Xt)</t>
  </si>
  <si>
    <t>Xi dan Xt basis basah. Cairan diasumsikan seluruhnya air; EM4 belum mengubah neraca ini secara berarti.</t>
  </si>
  <si>
    <t>Volume cairan akhir tambahan</t>
  </si>
  <si>
    <t>liter/batch</t>
  </si>
  <si>
    <t>V cairan = massa cairan / densitas</t>
  </si>
  <si>
    <t>Masukkan bertahap; verifikasi tidak ada cairan bebas. Tidak menghitung perubahan volume bulk campuran.</t>
  </si>
  <si>
    <t>EM4 sesuai dosis yang diinput</t>
  </si>
  <si>
    <t>mL/batch</t>
  </si>
  <si>
    <t>EM4 = dosis [mL/L cairan akhir] × V akhir</t>
  </si>
  <si>
    <t>Kosong sampai dosis diisi sesuai petunjuk produk. EM4 termasuk volume cairan akhir, bukan ditambahkan dua kali.</t>
  </si>
  <si>
    <t>Estimasi massa setelah pembasahan</t>
  </si>
  <si>
    <t>m basah akhir = m awal + m cairan</t>
  </si>
  <si>
    <t>Periksa kembali kemampuan pengadukan setelah bahan dibasahi.</t>
  </si>
  <si>
    <t>Setara batch per tangki cairan</t>
  </si>
  <si>
    <t>batch/tangki</t>
  </si>
  <si>
    <t>V tangki nominal / V cairan per batch</t>
  </si>
  <si>
    <t>Belum mengurangi ruang bebas tangki; jangan dibaca sebagai kapasitas pompa.</t>
  </si>
  <si>
    <t>Status kadar air / dosis</t>
  </si>
  <si>
    <t>Validasi target dan kelengkapan dosis</t>
  </si>
  <si>
    <t>Tidak membuktikan proses biologis atau dosis yang benar.</t>
  </si>
  <si>
    <t>SATU MOTOR — DUA CABANG TRANSMISI</t>
  </si>
  <si>
    <t>Pencacah lewat cabang tersendiri; pengaduk melalui reducer. Daya motor dibagi sesuai beban, bukan masing-masing mendapat 0,5 hp. Semua efisiensi masih asumsi.</t>
  </si>
  <si>
    <t>Putaran pengaduk</t>
  </si>
  <si>
    <t>n motor / i reducer × D penggerak / D digerakkan</t>
  </si>
  <si>
    <t>Cabang pengaduk langsung dari motor/poros pembagi dengan rpm sama motor; belt tanpa slip.</t>
  </si>
  <si>
    <t>Putaran pencacah</t>
  </si>
  <si>
    <t>n motor × D penggerak / D digerakkan</t>
  </si>
  <si>
    <t>Kosong: ukuran pulley dan putaran target pisau belum ditentukan. Tidak otomatis memakai 1400 rpm.</t>
  </si>
  <si>
    <t>Torsi nominal poros motor bersama</t>
  </si>
  <si>
    <t>P motor / ω motor</t>
  </si>
  <si>
    <t>Belum merupakan torsi start dan bukan torsi pada kedua poros sekaligus.</t>
  </si>
  <si>
    <t>Daya motor yang diperlukan cabang pencacah</t>
  </si>
  <si>
    <t>P poros pencacah / η cabang pencacah</t>
  </si>
  <si>
    <t>Termasuk rugi cabang pencacah. Input P pencacah kosong berarti belum diketahui, bukan nol.</t>
  </si>
  <si>
    <t>Sisa anggaran daya motor untuk mixer</t>
  </si>
  <si>
    <t>P motor − P masuk cabang pencacah</t>
  </si>
  <si>
    <t>Ini batas kapasitas nominal yang tersisa, bukan daya nyata yang selalu dikeluarkan motor. Nilai negatif berarti tidak cukup.</t>
  </si>
  <si>
    <t>Batas daya poros mixer saat cacah berbeban</t>
  </si>
  <si>
    <t>Sisa daya motor × η gearbox × η belt mixer</t>
  </si>
  <si>
    <t>Tidak mengalokasikan seluruh daya motor ke mixer. Kapasitas aktual dapat dibatasi rating komponen.</t>
  </si>
  <si>
    <t>Batas torsi mixer saat cacah berbeban</t>
  </si>
  <si>
    <t>Batas daya mixer / ω mixer</t>
  </si>
  <si>
    <t>Kosong sampai kebutuhan daya pencacah diisi; bukan jaminan torsi start atau bebas macet.</t>
  </si>
  <si>
    <t>Torsi kebutuhan mixer dengan faktor</t>
  </si>
  <si>
    <t>T kerja mixer × faktor kebutuhan</t>
  </si>
  <si>
    <t>Isi torsi pengaduk dari pengujian/analisis; faktor contoh 1,5.</t>
  </si>
  <si>
    <t>Daya motor yang diperlukan cabang mixer</t>
  </si>
  <si>
    <t>T kebutuhan × ω mixer / (1000 × η gearbox × η belt)</t>
  </si>
  <si>
    <t>Periksa efisiensi, rasio, dan rpm positif; bukan penentuan rating gearbox final.</t>
  </si>
  <si>
    <t>Kebutuhan daya gabungan simultan</t>
  </si>
  <si>
    <t>P masuk pencacah + P masuk mixer</t>
  </si>
  <si>
    <t>Gunakan kondisi beban yang relevan; cek fase cacah dan fase campur basah. Belum menghitung transien start/jam.</t>
  </si>
  <si>
    <t>Status putaran pengaduk</t>
  </si>
  <si>
    <t>Bandingkan terhadap rentang uji input</t>
  </si>
  <si>
    <t>Rentang 20–40 rpm belum tervalidasi.</t>
  </si>
  <si>
    <t>Status kecukupan motor gabungan</t>
  </si>
  <si>
    <t>Kebutuhan gabungan ≤ daya motor nominal</t>
  </si>
  <si>
    <t>Lolos angka daya bukan bukti start, termal, poros, belt atau gearbox cukup.</t>
  </si>
  <si>
    <t>Batas ideal mixer jika cabang cacah NOL</t>
  </si>
  <si>
    <t>P motor × η mixer / ω mixer</t>
  </si>
  <si>
    <t>Batas pembanding SAJA. Pencacah yang tetap berputar tanpa bahan pun memiliki rugi; angka ini tidak berlaku saat keduanya berbeban.</t>
  </si>
  <si>
    <t>RAB — HARGA AWAL &amp; KOMPONEN TAMBAHAN</t>
  </si>
  <si>
    <t>Kuning = isian. Harga 14 item pertama disalin dari RAB kasar pengguna, bukan penawaran terbaru. Baris tambahan wajib dilengkapi sebelum total dapat dianggap lengkap.</t>
  </si>
  <si>
    <t>Komponen</t>
  </si>
  <si>
    <t>Spesifikasi / hal yang ditentukan</t>
  </si>
  <si>
    <t>Opsi merek / grade</t>
  </si>
  <si>
    <t>Jumlah</t>
  </si>
  <si>
    <t>Harga satuan</t>
  </si>
  <si>
    <t>Subtotal</t>
  </si>
  <si>
    <t>Status harga</t>
  </si>
  <si>
    <t>Plat ruang proses</t>
  </si>
  <si>
    <t>Grade, tebal, luas; kontak bahan basah</t>
  </si>
  <si>
    <t>SS304</t>
  </si>
  <si>
    <t>buah</t>
  </si>
  <si>
    <t>Motor penggerak</t>
  </si>
  <si>
    <t>Satu motor 0,5 hp 1400 rpm; harga lama perlu dikonfirmasi</t>
  </si>
  <si>
    <t>TECO / YUEMA</t>
  </si>
  <si>
    <t>unit</t>
  </si>
  <si>
    <t>Poros</t>
  </si>
  <si>
    <t>Diameter, panjang, alur pasak, bubut</t>
  </si>
  <si>
    <t>S45C / SS304 sesuai desain</t>
  </si>
  <si>
    <t>Bearing duduk</t>
  </si>
  <si>
    <t>Nomor sesuai diameter; di luar area basah</t>
  </si>
  <si>
    <t>ASAHI / NTN / SKF</t>
  </si>
  <si>
    <t>Pulley</t>
  </si>
  <si>
    <t>Diameter efektif, profil alur &amp; lubang</t>
  </si>
  <si>
    <t>Fabrikasi sesuai ukuran</t>
  </si>
  <si>
    <t>V-belt</t>
  </si>
  <si>
    <t>Profil, panjang dan rating daya</t>
  </si>
  <si>
    <t>Bando / Mitsuboshi</t>
  </si>
  <si>
    <t>Pisau pencacah</t>
  </si>
  <si>
    <t>Jumlah, geometri, pisau diam, heat treatment</t>
  </si>
  <si>
    <t>SKD11 sesuai rancangan</t>
  </si>
  <si>
    <t>set</t>
  </si>
  <si>
    <t>Bilah pengaduk</t>
  </si>
  <si>
    <t>Paddle, ukuran, ketebalan, sambungan</t>
  </si>
  <si>
    <t>Rangka &amp; dudukan</t>
  </si>
  <si>
    <t>Profil, tebal, panjang, motor tensioner</t>
  </si>
  <si>
    <t>Baja struktur</t>
  </si>
  <si>
    <t>paket</t>
  </si>
  <si>
    <t>Kelistrikan dasar</t>
  </si>
  <si>
    <t>Kabel, MCB, sakelar dan emergency stop</t>
  </si>
  <si>
    <t>Supreme; Schneider / LS</t>
  </si>
  <si>
    <t>Selang &amp; distribusi cairan</t>
  </si>
  <si>
    <t>Dosing tetes/gravitasi; bahan kompatibel</t>
  </si>
  <si>
    <t>Sesuai rancangan</t>
  </si>
  <si>
    <t>Baut, mur, engsel</t>
  </si>
  <si>
    <t>Ukuran, jumlah, pengunci, area basah</t>
  </si>
  <si>
    <t>SS / baut grade sesuai</t>
  </si>
  <si>
    <t>Jasa bengkel awal</t>
  </si>
  <si>
    <t>Pisahkan potong, las, bubut, assembly</t>
  </si>
  <si>
    <t>Penawaran bengkel</t>
  </si>
  <si>
    <t>Bahan habis pakai</t>
  </si>
  <si>
    <t>Las sesuai material, cakram, cat luar</t>
  </si>
  <si>
    <t>KOBELCO; Jotun/Nippon</t>
  </si>
  <si>
    <t>Gearbox pengaduk</t>
  </si>
  <si>
    <t>Rasio &amp; rating torsi; cek katalog</t>
  </si>
  <si>
    <t>NMRV; opsi Motovario</t>
  </si>
  <si>
    <t>Motor kedua — tidak dipakai</t>
  </si>
  <si>
    <t>Revisi: satu motor bersama untuk dua cabang</t>
  </si>
  <si>
    <t>Tidak dipakai</t>
  </si>
  <si>
    <t>Pintu antar-ruang &amp; keluaran</t>
  </si>
  <si>
    <t>Slider, engsel, pengunci, handle</t>
  </si>
  <si>
    <t>Fabrikasi</t>
  </si>
  <si>
    <t>Seal poros &amp; pelindung bearing</t>
  </si>
  <si>
    <t>Kompatibilitas cairan dan diameter</t>
  </si>
  <si>
    <t>Sesuai poros</t>
  </si>
  <si>
    <t>Kopling, pasak &amp; pengunci</t>
  </si>
  <si>
    <t>Rating torsi dan diameter</t>
  </si>
  <si>
    <t>Guard transmisi &amp; akses</t>
  </si>
  <si>
    <t>Penutup pulley/belt/pisau; interlock</t>
  </si>
  <si>
    <t>Fabrikasi + switch sesuai</t>
  </si>
  <si>
    <t>Panel &amp; proteksi motor tambahan</t>
  </si>
  <si>
    <t>Kontaktor, overload, enclosure, grounding</t>
  </si>
  <si>
    <t>Schneider / LS</t>
  </si>
  <si>
    <t>Tangki cairan &amp; alat takar</t>
  </si>
  <si>
    <t>HDPE; katup, filter; dosing manual</t>
  </si>
  <si>
    <t>HDPE sesuai cairan</t>
  </si>
  <si>
    <t>Drainase &amp; akses pembersihan</t>
  </si>
  <si>
    <t>Outlet cairan; mudah dibersihkan</t>
  </si>
  <si>
    <t>Uji coba &amp; bahan proses</t>
  </si>
  <si>
    <t>Daun, cairan, EM4, bahan tambahan</t>
  </si>
  <si>
    <t>Sesuai rencana uji</t>
  </si>
  <si>
    <t>Subtotal terisi</t>
  </si>
  <si>
    <t>Cadangan</t>
  </si>
  <si>
    <t>Total sementara</t>
  </si>
  <si>
    <t>Harga belum ada</t>
  </si>
  <si>
    <t>Untuk komponen opsional yang tidak dipakai: ubah jumlah menjadi 0. Jangan mengisi harga 0 untuk menyembunyikan harga yang belum diketahui. Total sementara belum mencakup seluruh kebutuhan; cek ulang material, pekerjaan bengkel dan duplikasi paket listrik.</t>
  </si>
  <si>
    <t>RINGKASAN DESAIN AWAL</t>
  </si>
  <si>
    <t>Angka otomatis berdasarkan input. Tidak menyatakan desain aman, motor cukup, atau mesin menghasilkan kompos matang.</t>
  </si>
  <si>
    <t>Indikator</t>
  </si>
  <si>
    <t>Nilai otomatis</t>
  </si>
  <si>
    <t>Makna / tindakan selanjutnya</t>
  </si>
  <si>
    <t>Catatan</t>
  </si>
  <si>
    <t>Volume ruang pengaduk</t>
  </si>
  <si>
    <t>Volume kerja HASIL CACAHAN awal</t>
  </si>
  <si>
    <t>Massa bahan awal per batch</t>
  </si>
  <si>
    <t>Waktu pengolahan mekanis</t>
  </si>
  <si>
    <t>Cairan tambahan perkiraan</t>
  </si>
  <si>
    <t>Massa setelah pembasahan</t>
  </si>
  <si>
    <t>Batas torsi mixer saat pencacah berbeban</t>
  </si>
  <si>
    <t>N·m; perlu data</t>
  </si>
  <si>
    <t>Status penilaian torsi</t>
  </si>
  <si>
    <t>Total RAB sementara + cadangan</t>
  </si>
  <si>
    <t>rupiah; belum lengkap</t>
  </si>
  <si>
    <t>Komponen berjumlah &gt;0 tanpa harga</t>
  </si>
  <si>
    <t>baris belum diisi</t>
  </si>
  <si>
    <t>PRIORITAS: ukur densitas daun yang benar-benar diproses; tentukan fungsi pencacah atas; uji beban campuran basah; periksa kemampuan gearbox/poros; lengkapi penawaran harga. Campuran kaya karbon memerlukan rencana sumber nitrogen; EM4 bukan penggantinya.</t>
  </si>
  <si>
    <t>REVISI — KOMPOSTER SATU MOTOR</t>
  </si>
  <si>
    <t>Template capstone: hopper/pencacah di atas, pengaduk + larutan di bawah. Semua angka awal dapat diubah.</t>
  </si>
  <si>
    <t>Urut</t>
  </si>
  <si>
    <t>Tab / topik</t>
  </si>
  <si>
    <t>Cara memakai / batasan</t>
  </si>
  <si>
    <t>1</t>
  </si>
  <si>
    <t>01_Input</t>
  </si>
  <si>
    <t>Revisi satu motor bersama, pemasukan daun bertahap. Kapasitas hanya berdasarkan mixer Ø40 × 50 cm dengan fraksi isi 50% sebagai contoh. Volume hopper tidak dipakai.</t>
  </si>
  <si>
    <t>2</t>
  </si>
  <si>
    <t>02_Volume</t>
  </si>
  <si>
    <t>Menghitung volume geometris, volume kerja, densitas dan massa batch. Densitas harus sesuai daun utuh/cacah yang benar-benar masuk pengaduk.</t>
  </si>
  <si>
    <t>3</t>
  </si>
  <si>
    <t>03_Proses</t>
  </si>
  <si>
    <t>Waktu muat/cacah dikurangi overlap; waktu campur adalah tambahan setelah pencacahan; kapasitas mekanis; neraca air basis basah. Dosis EM4 sengaja kosong sampai ada dasar label produk.</t>
  </si>
  <si>
    <t>4</t>
  </si>
  <si>
    <t>04_Transmisi</t>
  </si>
  <si>
    <t>Satu motor 0,5 hp dibagi dua cabang. Daya pencacah dan torsi mixer kosong sampai ada data. Putaran mixer contoh 28 rpm bukan validasi beban.</t>
  </si>
  <si>
    <t>5</t>
  </si>
  <si>
    <t>05_RAB</t>
  </si>
  <si>
    <t>Harga awal 14 item berasal dari screenshot pengguna. Tambahan belum diberi harga. Jumlah 0 berarti tidak dipakai; harga kosong berarti belum diketahui.</t>
  </si>
  <si>
    <t>6</t>
  </si>
  <si>
    <t>06_Ringkasan</t>
  </si>
  <si>
    <t>Lihat hasil utama dan kebutuhan yang belum lengkap. Angka biaya adalah subtotal sementara, bukan anggaran final.</t>
  </si>
  <si>
    <t>!</t>
  </si>
  <si>
    <t>Warna</t>
  </si>
  <si>
    <t>Kuning/biru = input pengguna; hijau = formula otomatis; jingga = batasan/perhatian. Sel formula tidak dikunci agar dapat diaudit; hindari menimpanya.</t>
  </si>
  <si>
    <t>Hitung ulang</t>
  </si>
  <si>
    <t>Rumus disimpan sebagai formula Excel dengan nilai awal cache. Aktifkan Automatic Calculation di Excel. Setelah input diubah, Excel/LibreOffice perlu menghitung ulang; viewer pratinjau mungkin tidak memperbarui hasil.</t>
  </si>
  <si>
    <t>Batas mekanis</t>
  </si>
  <si>
    <t>Tidak menghitung kekuatan poros/pisau, panjang belt, kapasitas bearing, starting/jam, ketebalan dinding, maupun struktur. Gunakan gambar kerja, analisis beban dan data katalog sebelum fabrikasi.</t>
  </si>
  <si>
    <t>Batas biologis</t>
  </si>
  <si>
    <t>Pencacahan/pencampuran bukan pematangan kompos. Waktu fermentasi, aerasi, suhu, kelembapan, C/N dan kebutuhan sumber nitrogen belum dimodelkan.</t>
  </si>
  <si>
    <t>Contoh pengujian</t>
  </si>
  <si>
    <t>Timbang wadah kosong dan isi volume tertentu tanpa pemadatan; lakukan beberapa ulangan. Uji kembali setelah pencacahan. Masukkan angka representatif dan catat variasinya.</t>
  </si>
  <si>
    <t>Dimensi ruang: cm; pulley: mm; massa: kg; volume: liter; putaran: rpm; kadar air basis basah: fraksi. Contoh 55% ditulis 0,55 atau 55%.</t>
  </si>
  <si>
    <t>Catatan desain</t>
  </si>
  <si>
    <t>Penambahan cairan menaikkan massa; volume campuran akhir tidak selalu sama dengan volume awal. Uji ruang bebas pengaduk setelah dibasahi sebelum menambah kapasitas.</t>
  </si>
  <si>
    <t>Status overlap muat–cacah</t>
  </si>
  <si>
    <t>0 ≤ overlap ≤ MIN(muat,cacah)</t>
  </si>
  <si>
    <t>Waktu contoh bukan hasil pengujian.</t>
  </si>
  <si>
    <t>Batas anggaran</t>
  </si>
  <si>
    <t>Sisa sebelum cadangan</t>
  </si>
  <si>
    <t>Sisa setelah cadangan</t>
  </si>
  <si>
    <t>Harga tambahan masih kosong. Sisa anggaran bukan bukti dana cukup. Satu motor menghemat motor kedua, tetapi tetap memerlukan reducer, pembagi daya/dudukan, guard, seal dan fabrikasi. Pulley/belt lama perlu dihitung ulang.</t>
  </si>
  <si>
    <t>REVISI: motor bersama 0,5 hp = 0,37285 kW; putaran mixer contoh 28 rpm. Kebutuhan daya pencacah dan torsi mixer belum diketahui: motor belum dapat dinilai cukup. Dengan waktu contoh ber-overlap, 20 menit/batch dan 9 batch/hari; kapasitas bukan hasil pengujian.</t>
  </si>
  <si>
    <t>ARSITEKTUR: motor → dua cabang. Cabang pencacah memiliki rasio sendiri; cabang mixer melalui reducer. Keduanya berputar selama motor hidup. Pada tahap campur, pencacah tetap berputar tanpa bahan dan tetap menyerap daya. Pemberian EM4 masih manual/gravitasi; timer/dosing otomatis belum dirancang.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</si>
</sst>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%"/>
    <numFmt numFmtId="166" formatCode="&quot;Rp&quot; #,##0"/>
  </numFmts>
  <fonts count="6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sz val="11"/>
      <color rgb="FF52657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1565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E56"/>
        <bgColor indexed="64"/>
      </patternFill>
    </fill>
    <fill>
      <patternFill patternType="solid">
        <fgColor rgb="FF176B8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6F2E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7E3EA"/>
      </left>
      <right style="thin">
        <color rgb="FFD7E3EA"/>
      </right>
      <top style="thin">
        <color rgb="FFD7E3EA"/>
      </top>
      <bottom style="thin">
        <color rgb="FFD7E3E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164" fontId="5" fillId="5" borderId="2" xfId="0" applyNumberFormat="1" applyFont="1" applyFill="1" applyBorder="1"/>
    <xf numFmtId="165" fontId="5" fillId="5" borderId="1" xfId="0" applyNumberFormat="1" applyFont="1" applyFill="1" applyBorder="1"/>
    <xf numFmtId="164" fontId="0" fillId="6" borderId="2" xfId="0" applyNumberFormat="1" applyFill="1" applyBorder="1"/>
    <xf numFmtId="0" fontId="0" fillId="6" borderId="1" xfId="0" applyFill="1" applyBorder="1" applyAlignment="1">
      <alignment wrapText="1"/>
    </xf>
    <xf numFmtId="166" fontId="5" fillId="5" borderId="1" xfId="0" applyNumberFormat="1" applyFont="1" applyFill="1" applyBorder="1"/>
    <xf numFmtId="166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2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34.7109375" customWidth="1"/>
    <col min="3" max="3" width="95.7109375" customWidth="1"/>
  </cols>
  <sheetData>
    <row r="1" spans="1:3" ht="30" customHeight="1">
      <c r="A1" s="1" t="s">
        <v>314</v>
      </c>
      <c r="B1" s="1"/>
      <c r="C1" s="1"/>
    </row>
    <row r="2" spans="1:3" ht="35" customHeight="1">
      <c r="A2" s="2" t="s">
        <v>315</v>
      </c>
      <c r="B2" s="2"/>
      <c r="C2" s="2"/>
    </row>
    <row r="4" spans="1:3" ht="30" customHeight="1">
      <c r="A4" s="3" t="s">
        <v>316</v>
      </c>
      <c r="B4" s="3" t="s">
        <v>317</v>
      </c>
      <c r="C4" s="3" t="s">
        <v>318</v>
      </c>
    </row>
    <row r="5" spans="1:3" ht="55" customHeight="1">
      <c r="A5" s="4" t="s">
        <v>319</v>
      </c>
      <c r="B5" s="4" t="s">
        <v>320</v>
      </c>
      <c r="C5" s="4" t="s">
        <v>321</v>
      </c>
    </row>
    <row r="6" spans="1:3" ht="55" customHeight="1">
      <c r="A6" s="4" t="s">
        <v>322</v>
      </c>
      <c r="B6" s="4" t="s">
        <v>323</v>
      </c>
      <c r="C6" s="4" t="s">
        <v>324</v>
      </c>
    </row>
    <row r="7" spans="1:3" ht="55" customHeight="1">
      <c r="A7" s="4" t="s">
        <v>325</v>
      </c>
      <c r="B7" s="4" t="s">
        <v>326</v>
      </c>
      <c r="C7" s="4" t="s">
        <v>327</v>
      </c>
    </row>
    <row r="8" spans="1:3" ht="55" customHeight="1">
      <c r="A8" s="4" t="s">
        <v>328</v>
      </c>
      <c r="B8" s="4" t="s">
        <v>329</v>
      </c>
      <c r="C8" s="4" t="s">
        <v>330</v>
      </c>
    </row>
    <row r="9" spans="1:3" ht="55" customHeight="1">
      <c r="A9" s="4" t="s">
        <v>331</v>
      </c>
      <c r="B9" s="4" t="s">
        <v>332</v>
      </c>
      <c r="C9" s="4" t="s">
        <v>333</v>
      </c>
    </row>
    <row r="10" spans="1:3" ht="55" customHeight="1">
      <c r="A10" s="4" t="s">
        <v>334</v>
      </c>
      <c r="B10" s="4" t="s">
        <v>335</v>
      </c>
      <c r="C10" s="4" t="s">
        <v>336</v>
      </c>
    </row>
    <row r="11" spans="1:3" ht="55" customHeight="1">
      <c r="A11" s="4" t="s">
        <v>337</v>
      </c>
      <c r="B11" s="4" t="s">
        <v>338</v>
      </c>
      <c r="C11" s="4" t="s">
        <v>339</v>
      </c>
    </row>
    <row r="12" spans="1:3" ht="55" customHeight="1">
      <c r="A12" s="4" t="s">
        <v>337</v>
      </c>
      <c r="B12" s="4" t="s">
        <v>340</v>
      </c>
      <c r="C12" s="4" t="s">
        <v>341</v>
      </c>
    </row>
    <row r="13" spans="1:3" ht="55" customHeight="1">
      <c r="A13" s="4" t="s">
        <v>337</v>
      </c>
      <c r="B13" s="4" t="s">
        <v>342</v>
      </c>
      <c r="C13" s="4" t="s">
        <v>343</v>
      </c>
    </row>
    <row r="14" spans="1:3" ht="55" customHeight="1">
      <c r="A14" s="4" t="s">
        <v>337</v>
      </c>
      <c r="B14" s="4" t="s">
        <v>344</v>
      </c>
      <c r="C14" s="4" t="s">
        <v>345</v>
      </c>
    </row>
    <row r="15" spans="1:3" ht="55" customHeight="1">
      <c r="A15" s="4" t="s">
        <v>337</v>
      </c>
      <c r="B15" s="4" t="s">
        <v>346</v>
      </c>
      <c r="C15" s="4" t="s">
        <v>347</v>
      </c>
    </row>
    <row r="16" spans="1:3" ht="55" customHeight="1">
      <c r="A16" s="4" t="s">
        <v>337</v>
      </c>
      <c r="B16" s="4" t="s">
        <v>5</v>
      </c>
      <c r="C16" s="4" t="s">
        <v>348</v>
      </c>
    </row>
    <row r="17" spans="1:3" ht="55" customHeight="1">
      <c r="A17" s="4" t="s">
        <v>337</v>
      </c>
      <c r="B17" s="4" t="s">
        <v>349</v>
      </c>
      <c r="C17" s="4" t="s">
        <v>350</v>
      </c>
    </row>
    <row r="20" spans="1:3">
      <c r="A20" s="5" t="s">
        <v>359</v>
      </c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</sheetData>
  <mergeCells count="3">
    <mergeCell ref="A1:C1"/>
    <mergeCell ref="A2:C2"/>
    <mergeCell ref="A20:C22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7.7109375" customWidth="1"/>
    <col min="2" max="2" width="38.7109375" customWidth="1"/>
    <col min="3" max="4" width="17.7109375" customWidth="1"/>
    <col min="5" max="5" width="68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2" spans="1:5" ht="35" customHeight="1">
      <c r="A2" s="2" t="s">
        <v>1</v>
      </c>
      <c r="B2" s="2"/>
      <c r="C2" s="2"/>
      <c r="D2" s="2"/>
      <c r="E2" s="2"/>
    </row>
    <row r="4" spans="1:5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43" customHeight="1">
      <c r="A5" s="4">
        <v>1</v>
      </c>
      <c r="B5" s="4" t="s">
        <v>7</v>
      </c>
      <c r="C5" s="6">
        <v>40</v>
      </c>
      <c r="D5" s="4" t="s">
        <v>8</v>
      </c>
      <c r="E5" s="4" t="s">
        <v>9</v>
      </c>
    </row>
    <row r="6" spans="1:5" ht="43" customHeight="1">
      <c r="A6" s="4">
        <v>2</v>
      </c>
      <c r="B6" s="4" t="s">
        <v>10</v>
      </c>
      <c r="C6" s="6">
        <v>50</v>
      </c>
      <c r="D6" s="4" t="s">
        <v>8</v>
      </c>
      <c r="E6" s="4" t="s">
        <v>11</v>
      </c>
    </row>
    <row r="7" spans="1:5" ht="43" customHeight="1">
      <c r="A7" s="4">
        <v>3</v>
      </c>
      <c r="B7" s="4" t="s">
        <v>12</v>
      </c>
      <c r="C7" s="7">
        <v>0.5</v>
      </c>
      <c r="D7" s="4" t="s">
        <v>13</v>
      </c>
      <c r="E7" s="4" t="s">
        <v>14</v>
      </c>
    </row>
    <row r="8" spans="1:5" ht="43" customHeight="1">
      <c r="A8" s="4">
        <v>4</v>
      </c>
      <c r="B8" s="4" t="s">
        <v>15</v>
      </c>
      <c r="C8" s="6">
        <v>10</v>
      </c>
      <c r="D8" s="4" t="s">
        <v>16</v>
      </c>
      <c r="E8" s="4" t="s">
        <v>17</v>
      </c>
    </row>
    <row r="9" spans="1:5" ht="43" customHeight="1">
      <c r="A9" s="4">
        <v>5</v>
      </c>
      <c r="B9" s="4" t="s">
        <v>18</v>
      </c>
      <c r="C9" s="6">
        <v>0.3</v>
      </c>
      <c r="D9" s="4" t="s">
        <v>19</v>
      </c>
      <c r="E9" s="4" t="s">
        <v>20</v>
      </c>
    </row>
    <row r="10" spans="1:5" ht="43" customHeight="1">
      <c r="A10" s="4">
        <v>6</v>
      </c>
      <c r="B10" s="4" t="s">
        <v>21</v>
      </c>
      <c r="C10" s="6">
        <v>0.8</v>
      </c>
      <c r="D10" s="4" t="s">
        <v>19</v>
      </c>
      <c r="E10" s="4" t="s">
        <v>22</v>
      </c>
    </row>
    <row r="11" spans="1:5" ht="43" customHeight="1">
      <c r="A11" s="4">
        <v>7</v>
      </c>
      <c r="B11" s="4" t="s">
        <v>23</v>
      </c>
      <c r="C11" s="6">
        <v>3</v>
      </c>
      <c r="D11" s="4" t="s">
        <v>24</v>
      </c>
      <c r="E11" s="4" t="s">
        <v>25</v>
      </c>
    </row>
    <row r="12" spans="1:5" ht="43" customHeight="1">
      <c r="A12" s="4">
        <v>8</v>
      </c>
      <c r="B12" s="4" t="s">
        <v>26</v>
      </c>
      <c r="C12" s="6">
        <v>5</v>
      </c>
      <c r="D12" s="4" t="s">
        <v>24</v>
      </c>
      <c r="E12" s="4" t="s">
        <v>27</v>
      </c>
    </row>
    <row r="13" spans="1:5" ht="43" customHeight="1">
      <c r="A13" s="4">
        <v>9</v>
      </c>
      <c r="B13" s="4" t="s">
        <v>28</v>
      </c>
      <c r="C13" s="6">
        <v>10</v>
      </c>
      <c r="D13" s="4" t="s">
        <v>24</v>
      </c>
      <c r="E13" s="4" t="s">
        <v>29</v>
      </c>
    </row>
    <row r="14" spans="1:5" ht="43" customHeight="1">
      <c r="A14" s="4">
        <v>10</v>
      </c>
      <c r="B14" s="4" t="s">
        <v>30</v>
      </c>
      <c r="C14" s="6">
        <v>5</v>
      </c>
      <c r="D14" s="4" t="s">
        <v>24</v>
      </c>
      <c r="E14" s="4" t="s">
        <v>31</v>
      </c>
    </row>
    <row r="15" spans="1:5" ht="43" customHeight="1">
      <c r="A15" s="4">
        <v>11</v>
      </c>
      <c r="B15" s="4" t="s">
        <v>32</v>
      </c>
      <c r="C15" s="6">
        <v>4</v>
      </c>
      <c r="D15" s="4" t="s">
        <v>33</v>
      </c>
      <c r="E15" s="4" t="s">
        <v>34</v>
      </c>
    </row>
    <row r="16" spans="1:5" ht="43" customHeight="1">
      <c r="A16" s="4">
        <v>12</v>
      </c>
      <c r="B16" s="4" t="s">
        <v>35</v>
      </c>
      <c r="C16" s="7">
        <v>0.75</v>
      </c>
      <c r="D16" s="4" t="s">
        <v>13</v>
      </c>
      <c r="E16" s="4" t="s">
        <v>36</v>
      </c>
    </row>
    <row r="17" spans="1:5" ht="43" customHeight="1">
      <c r="A17" s="4">
        <v>13</v>
      </c>
      <c r="B17" s="4" t="s">
        <v>37</v>
      </c>
      <c r="C17" s="7">
        <v>0.1</v>
      </c>
      <c r="D17" s="4" t="s">
        <v>38</v>
      </c>
      <c r="E17" s="4" t="s">
        <v>39</v>
      </c>
    </row>
    <row r="18" spans="1:5" ht="43" customHeight="1">
      <c r="A18" s="4">
        <v>14</v>
      </c>
      <c r="B18" s="4" t="s">
        <v>40</v>
      </c>
      <c r="C18" s="7">
        <v>0.55</v>
      </c>
      <c r="D18" s="4" t="s">
        <v>38</v>
      </c>
      <c r="E18" s="4" t="s">
        <v>41</v>
      </c>
    </row>
    <row r="19" spans="1:5" ht="43" customHeight="1">
      <c r="A19" s="4">
        <v>15</v>
      </c>
      <c r="B19" s="4" t="s">
        <v>42</v>
      </c>
      <c r="C19" s="6">
        <v>1</v>
      </c>
      <c r="D19" s="4" t="s">
        <v>43</v>
      </c>
      <c r="E19" s="4" t="s">
        <v>44</v>
      </c>
    </row>
    <row r="20" spans="1:5" ht="43" customHeight="1">
      <c r="A20" s="4">
        <v>16</v>
      </c>
      <c r="B20" s="4" t="s">
        <v>45</v>
      </c>
      <c r="C20" s="6"/>
      <c r="D20" s="4" t="s">
        <v>46</v>
      </c>
      <c r="E20" s="4" t="s">
        <v>47</v>
      </c>
    </row>
    <row r="21" spans="1:5" ht="43" customHeight="1">
      <c r="A21" s="4">
        <v>17</v>
      </c>
      <c r="B21" s="4" t="s">
        <v>48</v>
      </c>
      <c r="C21" s="6">
        <v>5</v>
      </c>
      <c r="D21" s="4" t="s">
        <v>16</v>
      </c>
      <c r="E21" s="4" t="s">
        <v>49</v>
      </c>
    </row>
    <row r="22" spans="1:5" ht="43" customHeight="1">
      <c r="A22" s="4">
        <v>18</v>
      </c>
      <c r="B22" s="4" t="s">
        <v>50</v>
      </c>
      <c r="C22" s="6">
        <v>1400</v>
      </c>
      <c r="D22" s="4" t="s">
        <v>51</v>
      </c>
      <c r="E22" s="4" t="s">
        <v>52</v>
      </c>
    </row>
    <row r="23" spans="1:5" ht="43" customHeight="1">
      <c r="A23" s="4">
        <v>19</v>
      </c>
      <c r="B23" s="4" t="s">
        <v>53</v>
      </c>
      <c r="C23" s="6">
        <v>0.37285</v>
      </c>
      <c r="D23" s="4" t="s">
        <v>54</v>
      </c>
      <c r="E23" s="4" t="s">
        <v>55</v>
      </c>
    </row>
    <row r="24" spans="1:5" ht="43" customHeight="1">
      <c r="A24" s="4">
        <v>20</v>
      </c>
      <c r="B24" s="4" t="s">
        <v>56</v>
      </c>
      <c r="C24" s="6">
        <v>50</v>
      </c>
      <c r="D24" s="4" t="s">
        <v>57</v>
      </c>
      <c r="E24" s="4" t="s">
        <v>58</v>
      </c>
    </row>
    <row r="25" spans="1:5" ht="43" customHeight="1">
      <c r="A25" s="4">
        <v>21</v>
      </c>
      <c r="B25" s="4" t="s">
        <v>59</v>
      </c>
      <c r="C25" s="6">
        <v>100</v>
      </c>
      <c r="D25" s="4" t="s">
        <v>60</v>
      </c>
      <c r="E25" s="4" t="s">
        <v>61</v>
      </c>
    </row>
    <row r="26" spans="1:5" ht="43" customHeight="1">
      <c r="A26" s="4">
        <v>22</v>
      </c>
      <c r="B26" s="4" t="s">
        <v>62</v>
      </c>
      <c r="C26" s="6">
        <v>100</v>
      </c>
      <c r="D26" s="4" t="s">
        <v>60</v>
      </c>
      <c r="E26" s="4" t="s">
        <v>63</v>
      </c>
    </row>
    <row r="27" spans="1:5" ht="43" customHeight="1">
      <c r="A27" s="4">
        <v>23</v>
      </c>
      <c r="B27" s="4" t="s">
        <v>64</v>
      </c>
      <c r="C27" s="7">
        <v>0.7</v>
      </c>
      <c r="D27" s="4" t="s">
        <v>13</v>
      </c>
      <c r="E27" s="4" t="s">
        <v>65</v>
      </c>
    </row>
    <row r="28" spans="1:5" ht="43" customHeight="1">
      <c r="A28" s="4">
        <v>24</v>
      </c>
      <c r="B28" s="4" t="s">
        <v>66</v>
      </c>
      <c r="C28" s="7">
        <v>0.95</v>
      </c>
      <c r="D28" s="4" t="s">
        <v>13</v>
      </c>
      <c r="E28" s="4" t="s">
        <v>67</v>
      </c>
    </row>
    <row r="29" spans="1:5" ht="43" customHeight="1">
      <c r="A29" s="4">
        <v>25</v>
      </c>
      <c r="B29" s="4" t="s">
        <v>68</v>
      </c>
      <c r="C29" s="6">
        <v>20</v>
      </c>
      <c r="D29" s="4" t="s">
        <v>51</v>
      </c>
      <c r="E29" s="4" t="s">
        <v>69</v>
      </c>
    </row>
    <row r="30" spans="1:5" ht="43" customHeight="1">
      <c r="A30" s="4">
        <v>26</v>
      </c>
      <c r="B30" s="4" t="s">
        <v>70</v>
      </c>
      <c r="C30" s="6">
        <v>40</v>
      </c>
      <c r="D30" s="4" t="s">
        <v>51</v>
      </c>
      <c r="E30" s="4" t="s">
        <v>71</v>
      </c>
    </row>
    <row r="31" spans="1:5" ht="43" customHeight="1">
      <c r="A31" s="4">
        <v>27</v>
      </c>
      <c r="B31" s="4" t="s">
        <v>72</v>
      </c>
      <c r="C31" s="6"/>
      <c r="D31" s="4" t="s">
        <v>73</v>
      </c>
      <c r="E31" s="4" t="s">
        <v>74</v>
      </c>
    </row>
    <row r="32" spans="1:5" ht="43" customHeight="1">
      <c r="A32" s="4">
        <v>28</v>
      </c>
      <c r="B32" s="4" t="s">
        <v>75</v>
      </c>
      <c r="C32" s="6">
        <v>1.5</v>
      </c>
      <c r="D32" s="4" t="s">
        <v>76</v>
      </c>
      <c r="E32" s="4" t="s">
        <v>77</v>
      </c>
    </row>
    <row r="33" spans="1:5" ht="43" customHeight="1">
      <c r="A33" s="4">
        <v>29</v>
      </c>
      <c r="B33" s="4" t="s">
        <v>78</v>
      </c>
      <c r="C33" s="7">
        <v>0.15</v>
      </c>
      <c r="D33" s="4" t="s">
        <v>13</v>
      </c>
      <c r="E33" s="4" t="s">
        <v>79</v>
      </c>
    </row>
    <row r="34" spans="1:5" ht="43" customHeight="1">
      <c r="A34" s="4">
        <v>30</v>
      </c>
      <c r="B34" s="4" t="s">
        <v>80</v>
      </c>
      <c r="C34" s="6">
        <v>3</v>
      </c>
      <c r="D34" s="4" t="s">
        <v>24</v>
      </c>
      <c r="E34" s="4" t="s">
        <v>81</v>
      </c>
    </row>
    <row r="35" spans="1:5" ht="43" customHeight="1">
      <c r="A35" s="4">
        <v>31</v>
      </c>
      <c r="B35" s="4" t="s">
        <v>82</v>
      </c>
      <c r="C35" s="6"/>
      <c r="D35" s="4" t="s">
        <v>54</v>
      </c>
      <c r="E35" s="4" t="s">
        <v>83</v>
      </c>
    </row>
    <row r="36" spans="1:5" ht="43" customHeight="1">
      <c r="A36" s="4">
        <v>32</v>
      </c>
      <c r="B36" s="4" t="s">
        <v>84</v>
      </c>
      <c r="C36" s="7">
        <v>0.95</v>
      </c>
      <c r="D36" s="4" t="s">
        <v>13</v>
      </c>
      <c r="E36" s="4" t="s">
        <v>85</v>
      </c>
    </row>
    <row r="37" spans="1:5" ht="43" customHeight="1">
      <c r="A37" s="4">
        <v>33</v>
      </c>
      <c r="B37" s="4" t="s">
        <v>86</v>
      </c>
      <c r="C37" s="6"/>
      <c r="D37" s="4" t="s">
        <v>60</v>
      </c>
      <c r="E37" s="4" t="s">
        <v>87</v>
      </c>
    </row>
    <row r="38" spans="1:5" ht="43" customHeight="1">
      <c r="A38" s="4">
        <v>34</v>
      </c>
      <c r="B38" s="4" t="s">
        <v>88</v>
      </c>
      <c r="C38" s="6"/>
      <c r="D38" s="4" t="s">
        <v>60</v>
      </c>
      <c r="E38" s="4" t="s">
        <v>89</v>
      </c>
    </row>
    <row r="39" spans="1:5" ht="43" customHeight="1">
      <c r="A39" s="4">
        <v>35</v>
      </c>
      <c r="B39" s="4" t="s">
        <v>90</v>
      </c>
      <c r="C39" s="6">
        <v>2500000</v>
      </c>
      <c r="D39" s="4" t="s">
        <v>91</v>
      </c>
      <c r="E39" s="4" t="s">
        <v>92</v>
      </c>
    </row>
  </sheetData>
  <autoFilter ref="A4:E39"/>
  <mergeCells count="2">
    <mergeCell ref="A1:E1"/>
    <mergeCell ref="A2:E2"/>
  </mergeCells>
  <dataValidations count="35">
    <dataValidation type="decimal" operator="greaterThanOrEqual" allowBlank="1" showInputMessage="1" showErrorMessage="1" error="Masukkan angka nol atau positif. Ukuran/pembagi harus lebih dari nol." sqref="C5">
      <formula1>0</formula1>
    </dataValidation>
    <dataValidation type="decimal" operator="greaterThanOrEqual" allowBlank="1" showInputMessage="1" showErrorMessage="1" error="Masukkan angka nol atau positif. Ukuran/pembagi harus lebih dari nol." sqref="C6">
      <formula1>0</formula1>
    </dataValidation>
    <dataValidation type="decimal" allowBlank="1" showInputMessage="1" showErrorMessage="1" error="Nilai harus berada dalam rentang fraksi yang diizinkan." promptTitle="Masukkan fraksi" prompt="Contoh 50% = 0,50 atau ketik 50%." sqref="C7">
      <formula1>0</formula1>
      <formula2>1</formula2>
    </dataValidation>
    <dataValidation type="decimal" operator="greaterThanOrEqual" allowBlank="1" showInputMessage="1" showErrorMessage="1" error="Masukkan angka nol atau positif. Ukuran/pembagi harus lebih dari nol." sqref="C8">
      <formula1>0</formula1>
    </dataValidation>
    <dataValidation type="decimal" operator="greaterThanOrEqual" allowBlank="1" showInputMessage="1" showErrorMessage="1" error="Masukkan angka nol atau positif. Ukuran/pembagi harus lebih dari nol." sqref="C9">
      <formula1>0</formula1>
    </dataValidation>
    <dataValidation type="decimal" operator="greaterThanOrEqual" allowBlank="1" showInputMessage="1" showErrorMessage="1" error="Masukkan angka nol atau positif. Ukuran/pembagi harus lebih dari nol." sqref="C10">
      <formula1>0</formula1>
    </dataValidation>
    <dataValidation type="decimal" operator="greaterThanOrEqual" allowBlank="1" showInputMessage="1" showErrorMessage="1" error="Masukkan angka nol atau positif. Ukuran/pembagi harus lebih dari nol." sqref="C11">
      <formula1>0</formula1>
    </dataValidation>
    <dataValidation type="decimal" operator="greaterThanOrEqual" allowBlank="1" showInputMessage="1" showErrorMessage="1" error="Masukkan angka nol atau positif. Ukuran/pembagi harus lebih dari nol." sqref="C12">
      <formula1>0</formula1>
    </dataValidation>
    <dataValidation type="decimal" operator="greaterThanOrEqual" allowBlank="1" showInputMessage="1" showErrorMessage="1" error="Masukkan angka nol atau positif. Ukuran/pembagi harus lebih dari nol." sqref="C13">
      <formula1>0</formula1>
    </dataValidation>
    <dataValidation type="decimal" operator="greaterThanOrEqual" allowBlank="1" showInputMessage="1" showErrorMessage="1" error="Masukkan angka nol atau positif. Ukuran/pembagi harus lebih dari nol." sqref="C14">
      <formula1>0</formula1>
    </dataValidation>
    <dataValidation type="decimal" operator="greaterThanOrEqual" allowBlank="1" showInputMessage="1" showErrorMessage="1" error="Masukkan angka nol atau positif. Ukuran/pembagi harus lebih dari nol." sqref="C15">
      <formula1>0</formula1>
    </dataValidation>
    <dataValidation type="decimal" allowBlank="1" showInputMessage="1" showErrorMessage="1" error="Nilai harus berada dalam rentang fraksi yang diizinkan." promptTitle="Masukkan fraksi" prompt="Contoh 50% = 0,50 atau ketik 50%." sqref="C16">
      <formula1>0</formula1>
      <formula2>1</formula2>
    </dataValidation>
    <dataValidation type="decimal" allowBlank="1" showInputMessage="1" showErrorMessage="1" error="Nilai harus berada dalam rentang fraksi yang diizinkan." promptTitle="Masukkan fraksi" prompt="Contoh 50% = 0,50 atau ketik 50%." sqref="C17">
      <formula1>0</formula1>
      <formula2>0.9999</formula2>
    </dataValidation>
    <dataValidation type="decimal" allowBlank="1" showInputMessage="1" showErrorMessage="1" error="Nilai harus berada dalam rentang fraksi yang diizinkan." promptTitle="Masukkan fraksi" prompt="Contoh 50% = 0,50 atau ketik 50%." sqref="C18">
      <formula1>0</formula1>
      <formula2>0.9999</formula2>
    </dataValidation>
    <dataValidation type="decimal" operator="greaterThanOrEqual" allowBlank="1" showInputMessage="1" showErrorMessage="1" error="Masukkan angka nol atau positif. Ukuran/pembagi harus lebih dari nol." sqref="C19">
      <formula1>0</formula1>
    </dataValidation>
    <dataValidation type="decimal" operator="greaterThanOrEqual" allowBlank="1" showInputMessage="1" showErrorMessage="1" error="Masukkan angka nol atau positif. Ukuran/pembagi harus lebih dari nol." sqref="C20">
      <formula1>0</formula1>
    </dataValidation>
    <dataValidation type="decimal" operator="greaterThanOrEqual" allowBlank="1" showInputMessage="1" showErrorMessage="1" error="Masukkan angka nol atau positif. Ukuran/pembagi harus lebih dari nol." sqref="C21">
      <formula1>0</formula1>
    </dataValidation>
    <dataValidation type="decimal" operator="greaterThanOrEqual" allowBlank="1" showInputMessage="1" showErrorMessage="1" error="Masukkan angka nol atau positif. Ukuran/pembagi harus lebih dari nol." sqref="C22">
      <formula1>0</formula1>
    </dataValidation>
    <dataValidation type="decimal" operator="greaterThanOrEqual" allowBlank="1" showInputMessage="1" showErrorMessage="1" error="Masukkan angka nol atau positif. Ukuran/pembagi harus lebih dari nol." sqref="C23">
      <formula1>0</formula1>
    </dataValidation>
    <dataValidation type="decimal" operator="greaterThanOrEqual" allowBlank="1" showInputMessage="1" showErrorMessage="1" error="Masukkan angka nol atau positif. Ukuran/pembagi harus lebih dari nol." sqref="C24">
      <formula1>0</formula1>
    </dataValidation>
    <dataValidation type="decimal" operator="greaterThanOrEqual" allowBlank="1" showInputMessage="1" showErrorMessage="1" error="Masukkan angka nol atau positif. Ukuran/pembagi harus lebih dari nol." sqref="C25">
      <formula1>0</formula1>
    </dataValidation>
    <dataValidation type="decimal" operator="greaterThanOrEqual" allowBlank="1" showInputMessage="1" showErrorMessage="1" error="Masukkan angka nol atau positif. Ukuran/pembagi harus lebih dari nol." sqref="C26">
      <formula1>0</formula1>
    </dataValidation>
    <dataValidation type="decimal" allowBlank="1" showInputMessage="1" showErrorMessage="1" error="Nilai harus berada dalam rentang fraksi yang diizinkan." promptTitle="Masukkan fraksi" prompt="Contoh 50% = 0,50 atau ketik 50%." sqref="C27">
      <formula1>0</formula1>
      <formula2>1</formula2>
    </dataValidation>
    <dataValidation type="decimal" allowBlank="1" showInputMessage="1" showErrorMessage="1" error="Nilai harus berada dalam rentang fraksi yang diizinkan." promptTitle="Masukkan fraksi" prompt="Contoh 50% = 0,50 atau ketik 50%." sqref="C28">
      <formula1>0</formula1>
      <formula2>1</formula2>
    </dataValidation>
    <dataValidation type="decimal" operator="greaterThanOrEqual" allowBlank="1" showInputMessage="1" showErrorMessage="1" error="Masukkan angka nol atau positif. Ukuran/pembagi harus lebih dari nol." sqref="C29">
      <formula1>0</formula1>
    </dataValidation>
    <dataValidation type="decimal" operator="greaterThanOrEqual" allowBlank="1" showInputMessage="1" showErrorMessage="1" error="Masukkan angka nol atau positif. Ukuran/pembagi harus lebih dari nol." sqref="C30">
      <formula1>0</formula1>
    </dataValidation>
    <dataValidation type="decimal" operator="greaterThanOrEqual" allowBlank="1" showInputMessage="1" showErrorMessage="1" error="Masukkan angka nol atau positif. Ukuran/pembagi harus lebih dari nol." sqref="C31">
      <formula1>0</formula1>
    </dataValidation>
    <dataValidation type="decimal" operator="greaterThanOrEqual" allowBlank="1" showInputMessage="1" showErrorMessage="1" error="Masukkan angka nol atau positif. Ukuran/pembagi harus lebih dari nol." sqref="C32">
      <formula1>0</formula1>
    </dataValidation>
    <dataValidation type="decimal" allowBlank="1" showInputMessage="1" showErrorMessage="1" error="Nilai harus berada dalam rentang fraksi yang diizinkan." promptTitle="Masukkan fraksi" prompt="Contoh 50% = 0,50 atau ketik 50%." sqref="C33">
      <formula1>0</formula1>
      <formula2>1</formula2>
    </dataValidation>
    <dataValidation type="decimal" operator="greaterThanOrEqual" allowBlank="1" showInputMessage="1" showErrorMessage="1" error="Masukkan angka nol atau positif. Ukuran/pembagi harus lebih dari nol." sqref="C34">
      <formula1>0</formula1>
    </dataValidation>
    <dataValidation type="decimal" operator="greaterThanOrEqual" allowBlank="1" showInputMessage="1" showErrorMessage="1" error="Masukkan angka nol atau positif. Ukuran/pembagi harus lebih dari nol." sqref="C35">
      <formula1>0</formula1>
    </dataValidation>
    <dataValidation type="decimal" allowBlank="1" showInputMessage="1" showErrorMessage="1" error="Nilai harus berada dalam rentang fraksi yang diizinkan." promptTitle="Masukkan fraksi" prompt="Contoh 50% = 0,50 atau ketik 50%." sqref="C36">
      <formula1>0</formula1>
      <formula2>1</formula2>
    </dataValidation>
    <dataValidation type="decimal" operator="greaterThanOrEqual" allowBlank="1" showInputMessage="1" showErrorMessage="1" error="Masukkan angka nol atau positif. Ukuran/pembagi harus lebih dari nol." sqref="C37">
      <formula1>0</formula1>
    </dataValidation>
    <dataValidation type="decimal" operator="greaterThanOrEqual" allowBlank="1" showInputMessage="1" showErrorMessage="1" error="Masukkan angka nol atau positif. Ukuran/pembagi harus lebih dari nol." sqref="C38">
      <formula1>0</formula1>
    </dataValidation>
    <dataValidation type="decimal" operator="greaterThanOrEqual" allowBlank="1" showInputMessage="1" showErrorMessage="1" error="Masukkan angka nol atau positif. Ukuran/pembagi harus lebih dari nol." sqref="C39">
      <formula1>0</formula1>
    </dataValidation>
  </dataValidation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8.7109375" customWidth="1"/>
    <col min="2" max="2" width="18.7109375" customWidth="1"/>
    <col min="3" max="3" width="17.7109375" customWidth="1"/>
    <col min="4" max="4" width="50.7109375" customWidth="1"/>
    <col min="5" max="5" width="65.7109375" customWidth="1"/>
  </cols>
  <sheetData>
    <row r="1" spans="1:5" ht="30" customHeight="1">
      <c r="A1" s="1" t="s">
        <v>93</v>
      </c>
      <c r="B1" s="1"/>
      <c r="C1" s="1"/>
      <c r="D1" s="1"/>
      <c r="E1" s="1"/>
    </row>
    <row r="2" spans="1:5" ht="35" customHeight="1">
      <c r="A2" s="2" t="s">
        <v>94</v>
      </c>
      <c r="B2" s="2"/>
      <c r="C2" s="2"/>
      <c r="D2" s="2"/>
      <c r="E2" s="2"/>
    </row>
    <row r="4" spans="1:5" ht="30" customHeight="1">
      <c r="A4" s="3" t="s">
        <v>95</v>
      </c>
      <c r="B4" s="3" t="s">
        <v>96</v>
      </c>
      <c r="C4" s="3" t="s">
        <v>5</v>
      </c>
      <c r="D4" s="3" t="s">
        <v>97</v>
      </c>
      <c r="E4" s="3" t="s">
        <v>98</v>
      </c>
    </row>
    <row r="5" spans="1:5" ht="42" customHeight="1">
      <c r="A5" s="4" t="s">
        <v>99</v>
      </c>
      <c r="B5" s="8">
        <f>IFERROR(PI()/4*('01_Input'!C5/100)^2*('01_Input'!C6/100)*1000,"")</f>
        <v>62.83185307179587</v>
      </c>
      <c r="C5" s="4" t="s">
        <v>16</v>
      </c>
      <c r="D5" s="4" t="s">
        <v>100</v>
      </c>
      <c r="E5" s="4" t="s">
        <v>101</v>
      </c>
    </row>
    <row r="6" spans="1:5" ht="42" customHeight="1">
      <c r="A6" s="4" t="s">
        <v>102</v>
      </c>
      <c r="B6" s="8">
        <f>'02_Volume'!B5*'01_Input'!C7</f>
        <v>31.415926535897935</v>
      </c>
      <c r="C6" s="4" t="s">
        <v>16</v>
      </c>
      <c r="D6" s="4" t="s">
        <v>103</v>
      </c>
      <c r="E6" s="4" t="s">
        <v>104</v>
      </c>
    </row>
    <row r="7" spans="1:5" ht="42" customHeight="1">
      <c r="A7" s="4" t="s">
        <v>105</v>
      </c>
      <c r="B7" s="8">
        <f>'02_Volume'!B5-'02_Volume'!B6</f>
        <v>31.415926535897935</v>
      </c>
      <c r="C7" s="4" t="s">
        <v>16</v>
      </c>
      <c r="D7" s="4" t="s">
        <v>106</v>
      </c>
      <c r="E7" s="4" t="s">
        <v>107</v>
      </c>
    </row>
    <row r="9" spans="1:5" ht="42" customHeight="1">
      <c r="A9" s="4" t="s">
        <v>108</v>
      </c>
      <c r="B9" s="8">
        <f>'01_Input'!C10-'01_Input'!C9</f>
        <v>0.5</v>
      </c>
      <c r="C9" s="4" t="s">
        <v>19</v>
      </c>
      <c r="D9" s="4" t="s">
        <v>109</v>
      </c>
      <c r="E9" s="4" t="s">
        <v>110</v>
      </c>
    </row>
    <row r="10" spans="1:5" ht="42" customHeight="1">
      <c r="A10" s="4" t="s">
        <v>111</v>
      </c>
      <c r="B10" s="8">
        <f>IFERROR(IF('02_Volume'!B9&gt;0,'02_Volume'!B9/('01_Input'!C8/1000),""),"")</f>
        <v>50.0</v>
      </c>
      <c r="C10" s="4" t="s">
        <v>112</v>
      </c>
      <c r="D10" s="4" t="s">
        <v>113</v>
      </c>
      <c r="E10" s="4" t="s">
        <v>114</v>
      </c>
    </row>
    <row r="11" spans="1:5" ht="42" customHeight="1">
      <c r="A11" s="4" t="s">
        <v>115</v>
      </c>
      <c r="B11" s="8">
        <f>IFERROR(IF(ISNUMBER('02_Volume'!B10),'02_Volume'!B6/1000*'02_Volume'!B10,""),"")</f>
        <v>1.5707963267948968</v>
      </c>
      <c r="C11" s="4" t="s">
        <v>116</v>
      </c>
      <c r="D11" s="4" t="s">
        <v>117</v>
      </c>
      <c r="E11" s="4" t="s">
        <v>118</v>
      </c>
    </row>
    <row r="13" spans="1:5" ht="42" customHeight="1">
      <c r="A13" s="4" t="s">
        <v>119</v>
      </c>
      <c r="B13" s="9" t="str">
        <f>IF(AND('01_Input'!C5&gt;0,'01_Input'!C6&gt;0,'01_Input'!C8&gt;0,'01_Input'!C10&gt;'01_Input'!C9,'01_Input'!C7&gt;0),"INPUT DASAR OK","PERIKSA UKURAN / TIMBANGAN")</f>
        <v>INPUT DASAR OK</v>
      </c>
      <c r="C13" s="4" t="s">
        <v>120</v>
      </c>
      <c r="D13" s="4" t="s">
        <v>121</v>
      </c>
      <c r="E13" s="4" t="s">
        <v>122</v>
      </c>
    </row>
  </sheetData>
  <mergeCells count="2">
    <mergeCell ref="A1:E1"/>
    <mergeCell ref="A2:E2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9.7109375" customWidth="1"/>
    <col min="2" max="2" width="20.7109375" customWidth="1"/>
    <col min="3" max="3" width="19.7109375" customWidth="1"/>
    <col min="4" max="4" width="52.7109375" customWidth="1"/>
    <col min="5" max="5" width="65.7109375" customWidth="1"/>
  </cols>
  <sheetData>
    <row r="1" spans="1:5" ht="30" customHeight="1">
      <c r="A1" s="1" t="s">
        <v>123</v>
      </c>
      <c r="B1" s="1"/>
      <c r="C1" s="1"/>
      <c r="D1" s="1"/>
      <c r="E1" s="1"/>
    </row>
    <row r="2" spans="1:5" ht="35" customHeight="1">
      <c r="A2" s="2" t="s">
        <v>124</v>
      </c>
      <c r="B2" s="2"/>
      <c r="C2" s="2"/>
      <c r="D2" s="2"/>
      <c r="E2" s="2"/>
    </row>
    <row r="4" spans="1:5" ht="30" customHeight="1">
      <c r="A4" s="3" t="s">
        <v>95</v>
      </c>
      <c r="B4" s="3" t="s">
        <v>96</v>
      </c>
      <c r="C4" s="3" t="s">
        <v>5</v>
      </c>
      <c r="D4" s="3" t="s">
        <v>97</v>
      </c>
      <c r="E4" s="3" t="s">
        <v>98</v>
      </c>
    </row>
    <row r="5" spans="1:5" ht="42" customHeight="1">
      <c r="A5" s="4" t="s">
        <v>125</v>
      </c>
      <c r="B5" s="8">
        <f>IF(AND('01_Input'!C34&gt;=0,'01_Input'!C34&lt;=MIN('01_Input'!C11,'01_Input'!C12),'01_Input'!C11+'01_Input'!C12-'01_Input'!C34+'01_Input'!C13+'01_Input'!C14&gt;0),'01_Input'!C11+'01_Input'!C12-'01_Input'!C34+'01_Input'!C13+'01_Input'!C14,"")</f>
        <v>20</v>
      </c>
      <c r="C5" s="4" t="s">
        <v>126</v>
      </c>
      <c r="D5" s="4" t="s">
        <v>127</v>
      </c>
      <c r="E5" s="4" t="s">
        <v>128</v>
      </c>
    </row>
    <row r="6" spans="1:5" ht="42" customHeight="1">
      <c r="A6" s="4" t="s">
        <v>129</v>
      </c>
      <c r="B6" s="8">
        <f>IFERROR('02_Volume'!B11*60/'03_Proses'!B5,"")</f>
        <v>4.71238898038469</v>
      </c>
      <c r="C6" s="4" t="s">
        <v>130</v>
      </c>
      <c r="D6" s="4" t="s">
        <v>131</v>
      </c>
      <c r="E6" s="4" t="s">
        <v>132</v>
      </c>
    </row>
    <row r="7" spans="1:5" ht="42" customHeight="1">
      <c r="A7" s="4" t="s">
        <v>133</v>
      </c>
      <c r="B7" s="8">
        <f>'01_Input'!C15*60*'01_Input'!C16</f>
        <v>180.0</v>
      </c>
      <c r="C7" s="4" t="s">
        <v>134</v>
      </c>
      <c r="D7" s="4" t="s">
        <v>135</v>
      </c>
      <c r="E7" s="4" t="s">
        <v>136</v>
      </c>
    </row>
    <row r="8" spans="1:5" ht="42" customHeight="1">
      <c r="A8" s="4" t="s">
        <v>137</v>
      </c>
      <c r="B8" s="8">
        <f>IFERROR(ROUNDDOWN('03_Proses'!B7/'03_Proses'!B5,0),"")</f>
        <v>9</v>
      </c>
      <c r="C8" s="4" t="s">
        <v>138</v>
      </c>
      <c r="D8" s="4" t="s">
        <v>139</v>
      </c>
      <c r="E8" s="4" t="s">
        <v>140</v>
      </c>
    </row>
    <row r="9" spans="1:5" ht="42" customHeight="1">
      <c r="A9" s="4" t="s">
        <v>141</v>
      </c>
      <c r="B9" s="8">
        <f>IFERROR('03_Proses'!B8*'02_Volume'!B11,"")</f>
        <v>14.13716694115407</v>
      </c>
      <c r="C9" s="4" t="s">
        <v>142</v>
      </c>
      <c r="D9" s="4" t="s">
        <v>143</v>
      </c>
      <c r="E9" s="4" t="s">
        <v>144</v>
      </c>
    </row>
    <row r="10" spans="1:5" ht="42" customHeight="1">
      <c r="A10" s="4" t="s">
        <v>145</v>
      </c>
      <c r="B10" s="8">
        <f>IFERROR(IF(AND('01_Input'!C18&gt;='01_Input'!C17,'01_Input'!C18&lt;1,'01_Input'!C19&gt;0),'02_Volume'!B11*('01_Input'!C18-'01_Input'!C17)/(1-'01_Input'!C18),""),"")</f>
        <v>1.5707963267948972</v>
      </c>
      <c r="C10" s="4" t="s">
        <v>116</v>
      </c>
      <c r="D10" s="4" t="s">
        <v>146</v>
      </c>
      <c r="E10" s="4" t="s">
        <v>147</v>
      </c>
    </row>
    <row r="11" spans="1:5" ht="42" customHeight="1">
      <c r="A11" s="4" t="s">
        <v>148</v>
      </c>
      <c r="B11" s="8">
        <f>IFERROR(IF(ISNUMBER('03_Proses'!B10),'03_Proses'!B10/'01_Input'!C19,""),"")</f>
        <v>1.5707963267948972</v>
      </c>
      <c r="C11" s="4" t="s">
        <v>149</v>
      </c>
      <c r="D11" s="4" t="s">
        <v>150</v>
      </c>
      <c r="E11" s="4" t="s">
        <v>151</v>
      </c>
    </row>
    <row r="12" spans="1:5" ht="42" customHeight="1">
      <c r="A12" s="4" t="s">
        <v>152</v>
      </c>
      <c r="B12" s="8">
        <f>IFERROR(IF(AND(ISNUMBER('01_Input'!C20),ISNUMBER('03_Proses'!B11)),'01_Input'!C20*'03_Proses'!B11,""),"")</f>
        <v/>
      </c>
      <c r="C12" s="4" t="s">
        <v>153</v>
      </c>
      <c r="D12" s="4" t="s">
        <v>154</v>
      </c>
      <c r="E12" s="4" t="s">
        <v>155</v>
      </c>
    </row>
    <row r="13" spans="1:5" ht="42" customHeight="1">
      <c r="A13" s="4" t="s">
        <v>156</v>
      </c>
      <c r="B13" s="8">
        <f>IFERROR(IF(ISNUMBER('03_Proses'!B10),'02_Volume'!B11+'03_Proses'!B10,""),"")</f>
        <v>3.141592653589794</v>
      </c>
      <c r="C13" s="4" t="s">
        <v>116</v>
      </c>
      <c r="D13" s="4" t="s">
        <v>157</v>
      </c>
      <c r="E13" s="4" t="s">
        <v>158</v>
      </c>
    </row>
    <row r="14" spans="1:5" ht="42" customHeight="1">
      <c r="A14" s="4" t="s">
        <v>159</v>
      </c>
      <c r="B14" s="8">
        <f>IFERROR('01_Input'!C21/'03_Proses'!B11,"")</f>
        <v>3.1830988618379057</v>
      </c>
      <c r="C14" s="4" t="s">
        <v>160</v>
      </c>
      <c r="D14" s="4" t="s">
        <v>161</v>
      </c>
      <c r="E14" s="4" t="s">
        <v>162</v>
      </c>
    </row>
    <row r="15" spans="1:5" ht="42" customHeight="1">
      <c r="A15" s="4" t="s">
        <v>163</v>
      </c>
      <c r="B15" s="9" t="str">
        <f>IF('01_Input'!C18&lt;'01_Input'!C17,"TARGET LEBIH KERING: bukan tambah air",IF('01_Input'!C19&lt;=0,"PERIKSA DENSITAS CAIRAN",IF(ISNUMBER('01_Input'!C20),"DOSIS TERISI: verifikasi label produk","DOSIS EM4 BELUM DIISI")))</f>
        <v>DOSIS EM4 BELUM DIISI</v>
      </c>
      <c r="C15" s="4" t="s">
        <v>120</v>
      </c>
      <c r="D15" s="4" t="s">
        <v>164</v>
      </c>
      <c r="E15" s="4" t="s">
        <v>165</v>
      </c>
    </row>
    <row r="17" spans="1:5" ht="42" customHeight="1">
      <c r="A17" s="4" t="s">
        <v>351</v>
      </c>
      <c r="B17" s="9" t="str">
        <f>IF(AND('01_Input'!C34&gt;=0,'01_Input'!C34&lt;=MIN('01_Input'!C11,'01_Input'!C12)),"OVERLAP VALID SECARA ANGKA","PERIKSA WAKTU OVERLAP")</f>
        <v>OVERLAP VALID SECARA ANGKA</v>
      </c>
      <c r="C17" s="4" t="s">
        <v>120</v>
      </c>
      <c r="D17" s="4" t="s">
        <v>352</v>
      </c>
      <c r="E17" s="4" t="s">
        <v>353</v>
      </c>
    </row>
  </sheetData>
  <mergeCells count="2">
    <mergeCell ref="A1:E1"/>
    <mergeCell ref="A2:E2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9.7109375" customWidth="1"/>
    <col min="2" max="2" width="22.7109375" customWidth="1"/>
    <col min="3" max="3" width="16.7109375" customWidth="1"/>
    <col min="4" max="4" width="49.7109375" customWidth="1"/>
    <col min="5" max="5" width="70.7109375" customWidth="1"/>
  </cols>
  <sheetData>
    <row r="1" spans="1:5" ht="30" customHeight="1">
      <c r="A1" s="1" t="s">
        <v>166</v>
      </c>
      <c r="B1" s="1"/>
      <c r="C1" s="1"/>
      <c r="D1" s="1"/>
      <c r="E1" s="1"/>
    </row>
    <row r="2" spans="1:5" ht="35" customHeight="1">
      <c r="A2" s="2" t="s">
        <v>167</v>
      </c>
      <c r="B2" s="2"/>
      <c r="C2" s="2"/>
      <c r="D2" s="2"/>
      <c r="E2" s="2"/>
    </row>
    <row r="4" spans="1:5" ht="30" customHeight="1">
      <c r="A4" s="3" t="s">
        <v>95</v>
      </c>
      <c r="B4" s="3" t="s">
        <v>96</v>
      </c>
      <c r="C4" s="3" t="s">
        <v>5</v>
      </c>
      <c r="D4" s="3" t="s">
        <v>97</v>
      </c>
      <c r="E4" s="3" t="s">
        <v>98</v>
      </c>
    </row>
    <row r="5" spans="1:5" ht="42" customHeight="1">
      <c r="A5" s="4" t="s">
        <v>168</v>
      </c>
      <c r="B5" s="8">
        <f>IFERROR('01_Input'!C22/'01_Input'!C24*'01_Input'!C25/'01_Input'!C26,"")</f>
        <v>28.0</v>
      </c>
      <c r="C5" s="4" t="s">
        <v>51</v>
      </c>
      <c r="D5" s="4" t="s">
        <v>169</v>
      </c>
      <c r="E5" s="4" t="s">
        <v>170</v>
      </c>
    </row>
    <row r="6" spans="1:5" ht="42" customHeight="1">
      <c r="A6" s="4" t="s">
        <v>171</v>
      </c>
      <c r="B6" s="8">
        <f>IFERROR(IF(AND(ISNUMBER('01_Input'!C37),ISNUMBER('01_Input'!C38),'01_Input'!C37&gt;0,'01_Input'!C38&gt;0),'01_Input'!C22*'01_Input'!C37/'01_Input'!C38,""),"")</f>
        <v/>
      </c>
      <c r="C6" s="4" t="s">
        <v>51</v>
      </c>
      <c r="D6" s="4" t="s">
        <v>172</v>
      </c>
      <c r="E6" s="4" t="s">
        <v>173</v>
      </c>
    </row>
    <row r="7" spans="1:5" ht="42" customHeight="1">
      <c r="A7" s="4" t="s">
        <v>174</v>
      </c>
      <c r="B7" s="8">
        <f>IFERROR('01_Input'!C23*1000/(2*PI()*'01_Input'!C22/60),"")</f>
        <v>2.5431823085062795</v>
      </c>
      <c r="C7" s="4" t="s">
        <v>73</v>
      </c>
      <c r="D7" s="4" t="s">
        <v>175</v>
      </c>
      <c r="E7" s="4" t="s">
        <v>176</v>
      </c>
    </row>
    <row r="8" spans="1:5" ht="42" customHeight="1">
      <c r="A8" s="4" t="s">
        <v>177</v>
      </c>
      <c r="B8" s="8">
        <f>IFERROR(IF(AND(ISNUMBER('01_Input'!C35),'01_Input'!C35&gt;=0,'01_Input'!C36&gt;0,'01_Input'!C36&lt;=1),'01_Input'!C35/'01_Input'!C36,""),"")</f>
        <v/>
      </c>
      <c r="C8" s="4" t="s">
        <v>54</v>
      </c>
      <c r="D8" s="4" t="s">
        <v>178</v>
      </c>
      <c r="E8" s="4" t="s">
        <v>179</v>
      </c>
    </row>
    <row r="9" spans="1:5" ht="42" customHeight="1">
      <c r="A9" s="4" t="s">
        <v>180</v>
      </c>
      <c r="B9" s="8">
        <f>IF(ISNUMBER('04_Transmisi'!B8),'01_Input'!C23-'04_Transmisi'!B8,"")</f>
        <v/>
      </c>
      <c r="C9" s="4" t="s">
        <v>54</v>
      </c>
      <c r="D9" s="4" t="s">
        <v>181</v>
      </c>
      <c r="E9" s="4" t="s">
        <v>182</v>
      </c>
    </row>
    <row r="10" spans="1:5" ht="42" customHeight="1">
      <c r="A10" s="4" t="s">
        <v>183</v>
      </c>
      <c r="B10" s="8">
        <f>IFERROR(IF(AND(ISNUMBER('04_Transmisi'!B9),'04_Transmisi'!B9&gt;=0,'01_Input'!C27&gt;0,'01_Input'!C27&lt;=1,'01_Input'!C28&gt;0,'01_Input'!C28&lt;=1),'04_Transmisi'!B9*'01_Input'!C27*'01_Input'!C28,""),"")</f>
        <v/>
      </c>
      <c r="C10" s="4" t="s">
        <v>54</v>
      </c>
      <c r="D10" s="4" t="s">
        <v>184</v>
      </c>
      <c r="E10" s="4" t="s">
        <v>185</v>
      </c>
    </row>
    <row r="11" spans="1:5" ht="42" customHeight="1">
      <c r="A11" s="4" t="s">
        <v>186</v>
      </c>
      <c r="B11" s="8">
        <f>IFERROR(IF(ISNUMBER('04_Transmisi'!B10),'04_Transmisi'!B10*1000/(2*PI()*'04_Transmisi'!B5/60),""),"")</f>
        <v/>
      </c>
      <c r="C11" s="4" t="s">
        <v>73</v>
      </c>
      <c r="D11" s="4" t="s">
        <v>187</v>
      </c>
      <c r="E11" s="4" t="s">
        <v>188</v>
      </c>
    </row>
    <row r="12" spans="1:5" ht="42" customHeight="1">
      <c r="A12" s="4" t="s">
        <v>189</v>
      </c>
      <c r="B12" s="8">
        <f>IF(AND(ISNUMBER('01_Input'!C31),'01_Input'!C31&gt;0,'01_Input'!C32&gt;=1),'01_Input'!C31*'01_Input'!C32,"")</f>
        <v/>
      </c>
      <c r="C12" s="4" t="s">
        <v>73</v>
      </c>
      <c r="D12" s="4" t="s">
        <v>190</v>
      </c>
      <c r="E12" s="4" t="s">
        <v>191</v>
      </c>
    </row>
    <row r="13" spans="1:5" ht="42" customHeight="1">
      <c r="A13" s="4" t="s">
        <v>192</v>
      </c>
      <c r="B13" s="8">
        <f>IFERROR(IF(ISNUMBER('04_Transmisi'!B12),'04_Transmisi'!B12*(2*PI()*'04_Transmisi'!B5/60)/1000/('01_Input'!C27*'01_Input'!C28),""),"")</f>
        <v/>
      </c>
      <c r="C13" s="4" t="s">
        <v>54</v>
      </c>
      <c r="D13" s="4" t="s">
        <v>193</v>
      </c>
      <c r="E13" s="4" t="s">
        <v>194</v>
      </c>
    </row>
    <row r="14" spans="1:5" ht="42" customHeight="1">
      <c r="A14" s="4" t="s">
        <v>195</v>
      </c>
      <c r="B14" s="8">
        <f>IF(AND(ISNUMBER('04_Transmisi'!B13),ISNUMBER('04_Transmisi'!B8)),'04_Transmisi'!B13+'04_Transmisi'!B8,"")</f>
        <v/>
      </c>
      <c r="C14" s="4" t="s">
        <v>54</v>
      </c>
      <c r="D14" s="4" t="s">
        <v>196</v>
      </c>
      <c r="E14" s="4" t="s">
        <v>197</v>
      </c>
    </row>
    <row r="15" spans="1:5" ht="42" customHeight="1">
      <c r="A15" s="4" t="s">
        <v>198</v>
      </c>
      <c r="B15" s="9" t="str">
        <f>IFERROR(IF(AND('01_Input'!C22&gt;0,'01_Input'!C24&gt;0,'01_Input'!C25&gt;0,'01_Input'!C26&gt;0,'01_Input'!C29&lt;='01_Input'!C30,'04_Transmisi'!B5&gt;='01_Input'!C29,'04_Transmisi'!B5&lt;='01_Input'!C30),"DALAM RENTANG UJI","PERIKSA INPUT / RENTANG"),"PERIKSA INPUT")</f>
        <v>DALAM RENTANG UJI</v>
      </c>
      <c r="C15" s="4" t="s">
        <v>120</v>
      </c>
      <c r="D15" s="4" t="s">
        <v>199</v>
      </c>
      <c r="E15" s="4" t="s">
        <v>200</v>
      </c>
    </row>
    <row r="16" spans="1:5" ht="42" customHeight="1">
      <c r="A16" s="4" t="s">
        <v>201</v>
      </c>
      <c r="B16" s="9" t="str">
        <f>IF(NOT(ISNUMBER('04_Transmisi'!B14)),"BELUM DAPAT DINILAI",IF('04_Transmisi'!B14&lt;='01_Input'!C23,"LOLOS SCREENING DAYA SAJA","DAYA GABUNGAN MELEBIHI MOTOR"))</f>
        <v>BELUM DAPAT DINILAI</v>
      </c>
      <c r="C16" s="4" t="s">
        <v>120</v>
      </c>
      <c r="D16" s="4" t="s">
        <v>202</v>
      </c>
      <c r="E16" s="4" t="s">
        <v>203</v>
      </c>
    </row>
    <row r="17" spans="1:5" ht="42" customHeight="1">
      <c r="A17" s="4" t="s">
        <v>204</v>
      </c>
      <c r="B17" s="8">
        <f>IFERROR('01_Input'!C23*'01_Input'!C27*'01_Input'!C28*1000/(2*PI()*'04_Transmisi'!B5/60),"")</f>
        <v>84.56081175783378</v>
      </c>
      <c r="C17" s="4" t="s">
        <v>73</v>
      </c>
      <c r="D17" s="4" t="s">
        <v>205</v>
      </c>
      <c r="E17" s="4" t="s">
        <v>206</v>
      </c>
    </row>
  </sheetData>
  <mergeCells count="2">
    <mergeCell ref="A1:E1"/>
    <mergeCell ref="A2:E2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3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29.7109375" customWidth="1"/>
    <col min="3" max="3" width="47.7109375" customWidth="1"/>
    <col min="4" max="4" width="26.7109375" customWidth="1"/>
    <col min="5" max="5" width="12.7109375" customWidth="1"/>
    <col min="6" max="6" width="10.7109375" customWidth="1"/>
    <col min="7" max="8" width="18.7109375" customWidth="1"/>
    <col min="9" max="9" width="28.7109375" customWidth="1"/>
  </cols>
  <sheetData>
    <row r="1" spans="1:9" ht="30" customHeight="1">
      <c r="A1" s="1" t="s">
        <v>207</v>
      </c>
      <c r="B1" s="1"/>
      <c r="C1" s="1"/>
      <c r="D1" s="1"/>
      <c r="E1" s="1"/>
      <c r="F1" s="1"/>
      <c r="G1" s="1"/>
      <c r="H1" s="1"/>
      <c r="I1" s="1"/>
    </row>
    <row r="2" spans="1:9" ht="35" customHeight="1">
      <c r="A2" s="2" t="s">
        <v>208</v>
      </c>
      <c r="B2" s="2"/>
      <c r="C2" s="2"/>
      <c r="D2" s="2"/>
      <c r="E2" s="2"/>
      <c r="F2" s="2"/>
      <c r="G2" s="2"/>
      <c r="H2" s="2"/>
      <c r="I2" s="2"/>
    </row>
    <row r="4" spans="1:9" ht="30" customHeight="1">
      <c r="A4" s="3" t="s">
        <v>2</v>
      </c>
      <c r="B4" s="3" t="s">
        <v>209</v>
      </c>
      <c r="C4" s="3" t="s">
        <v>210</v>
      </c>
      <c r="D4" s="3" t="s">
        <v>211</v>
      </c>
      <c r="E4" s="3" t="s">
        <v>5</v>
      </c>
      <c r="F4" s="3" t="s">
        <v>212</v>
      </c>
      <c r="G4" s="3" t="s">
        <v>213</v>
      </c>
      <c r="H4" s="3" t="s">
        <v>214</v>
      </c>
      <c r="I4" s="3" t="s">
        <v>215</v>
      </c>
    </row>
    <row r="5" spans="1:9" ht="48" customHeight="1">
      <c r="A5" s="4">
        <v>1</v>
      </c>
      <c r="B5" s="4" t="s">
        <v>216</v>
      </c>
      <c r="C5" s="4" t="s">
        <v>217</v>
      </c>
      <c r="D5" s="4" t="s">
        <v>218</v>
      </c>
      <c r="E5" s="4" t="s">
        <v>219</v>
      </c>
      <c r="F5" s="6">
        <v>1</v>
      </c>
      <c r="G5" s="10">
        <v>250000</v>
      </c>
      <c r="H5" s="11">
        <f>IF(AND(ISNUMBER(F5),ISNUMBER(G5)),F5*G5,"")</f>
        <v>250000</v>
      </c>
      <c r="I5" s="9" t="str">
        <f>IF(F5=0,"TIDAK DIPAKAI",IF(ISNUMBER(G5),"TERISI; BELUM VERIFIKASI","BELUM ADA HARGA"))</f>
        <v>TERISI; BELUM VERIFIKASI</v>
      </c>
    </row>
    <row r="6" spans="1:9" ht="48" customHeight="1">
      <c r="A6" s="4">
        <v>2</v>
      </c>
      <c r="B6" s="4" t="s">
        <v>220</v>
      </c>
      <c r="C6" s="4" t="s">
        <v>221</v>
      </c>
      <c r="D6" s="4" t="s">
        <v>222</v>
      </c>
      <c r="E6" s="4" t="s">
        <v>223</v>
      </c>
      <c r="F6" s="6">
        <v>1</v>
      </c>
      <c r="G6" s="10">
        <v>910000</v>
      </c>
      <c r="H6" s="11">
        <f>IF(AND(ISNUMBER(F6),ISNUMBER(G6)),F6*G6,"")</f>
        <v>910000</v>
      </c>
      <c r="I6" s="9" t="str">
        <f>IF(F6=0,"TIDAK DIPAKAI",IF(ISNUMBER(G6),"TERISI; BELUM VERIFIKASI","BELUM ADA HARGA"))</f>
        <v>TERISI; BELUM VERIFIKASI</v>
      </c>
    </row>
    <row r="7" spans="1:9" ht="48" customHeight="1">
      <c r="A7" s="4">
        <v>3</v>
      </c>
      <c r="B7" s="4" t="s">
        <v>224</v>
      </c>
      <c r="C7" s="4" t="s">
        <v>225</v>
      </c>
      <c r="D7" s="4" t="s">
        <v>226</v>
      </c>
      <c r="E7" s="4" t="s">
        <v>219</v>
      </c>
      <c r="F7" s="6">
        <v>2</v>
      </c>
      <c r="G7" s="10">
        <v>80000</v>
      </c>
      <c r="H7" s="11">
        <f>IF(AND(ISNUMBER(F7),ISNUMBER(G7)),F7*G7,"")</f>
        <v>160000</v>
      </c>
      <c r="I7" s="9" t="str">
        <f>IF(F7=0,"TIDAK DIPAKAI",IF(ISNUMBER(G7),"TERISI; BELUM VERIFIKASI","BELUM ADA HARGA"))</f>
        <v>TERISI; BELUM VERIFIKASI</v>
      </c>
    </row>
    <row r="8" spans="1:9" ht="48" customHeight="1">
      <c r="A8" s="4">
        <v>4</v>
      </c>
      <c r="B8" s="4" t="s">
        <v>227</v>
      </c>
      <c r="C8" s="4" t="s">
        <v>228</v>
      </c>
      <c r="D8" s="4" t="s">
        <v>229</v>
      </c>
      <c r="E8" s="4" t="s">
        <v>219</v>
      </c>
      <c r="F8" s="6">
        <v>4</v>
      </c>
      <c r="G8" s="10">
        <v>35000</v>
      </c>
      <c r="H8" s="11">
        <f>IF(AND(ISNUMBER(F8),ISNUMBER(G8)),F8*G8,"")</f>
        <v>140000</v>
      </c>
      <c r="I8" s="9" t="str">
        <f>IF(F8=0,"TIDAK DIPAKAI",IF(ISNUMBER(G8),"TERISI; BELUM VERIFIKASI","BELUM ADA HARGA"))</f>
        <v>TERISI; BELUM VERIFIKASI</v>
      </c>
    </row>
    <row r="9" spans="1:9" ht="48" customHeight="1">
      <c r="A9" s="4">
        <v>5</v>
      </c>
      <c r="B9" s="4" t="s">
        <v>230</v>
      </c>
      <c r="C9" s="4" t="s">
        <v>231</v>
      </c>
      <c r="D9" s="4" t="s">
        <v>232</v>
      </c>
      <c r="E9" s="4" t="s">
        <v>219</v>
      </c>
      <c r="F9" s="6">
        <v>3</v>
      </c>
      <c r="G9" s="10">
        <v>50000</v>
      </c>
      <c r="H9" s="11">
        <f>IF(AND(ISNUMBER(F9),ISNUMBER(G9)),F9*G9,"")</f>
        <v>150000</v>
      </c>
      <c r="I9" s="9" t="str">
        <f>IF(F9=0,"TIDAK DIPAKAI",IF(ISNUMBER(G9),"TERISI; BELUM VERIFIKASI","BELUM ADA HARGA"))</f>
        <v>TERISI; BELUM VERIFIKASI</v>
      </c>
    </row>
    <row r="10" spans="1:9" ht="48" customHeight="1">
      <c r="A10" s="4">
        <v>6</v>
      </c>
      <c r="B10" s="4" t="s">
        <v>233</v>
      </c>
      <c r="C10" s="4" t="s">
        <v>234</v>
      </c>
      <c r="D10" s="4" t="s">
        <v>235</v>
      </c>
      <c r="E10" s="4" t="s">
        <v>219</v>
      </c>
      <c r="F10" s="6">
        <v>2</v>
      </c>
      <c r="G10" s="10">
        <v>25000</v>
      </c>
      <c r="H10" s="11">
        <f>IF(AND(ISNUMBER(F10),ISNUMBER(G10)),F10*G10,"")</f>
        <v>50000</v>
      </c>
      <c r="I10" s="9" t="str">
        <f>IF(F10=0,"TIDAK DIPAKAI",IF(ISNUMBER(G10),"TERISI; BELUM VERIFIKASI","BELUM ADA HARGA"))</f>
        <v>TERISI; BELUM VERIFIKASI</v>
      </c>
    </row>
    <row r="11" spans="1:9" ht="48" customHeight="1">
      <c r="A11" s="4">
        <v>7</v>
      </c>
      <c r="B11" s="4" t="s">
        <v>236</v>
      </c>
      <c r="C11" s="4" t="s">
        <v>237</v>
      </c>
      <c r="D11" s="4" t="s">
        <v>238</v>
      </c>
      <c r="E11" s="4" t="s">
        <v>239</v>
      </c>
      <c r="F11" s="6">
        <v>1</v>
      </c>
      <c r="G11" s="10">
        <v>100000</v>
      </c>
      <c r="H11" s="11">
        <f>IF(AND(ISNUMBER(F11),ISNUMBER(G11)),F11*G11,"")</f>
        <v>100000</v>
      </c>
      <c r="I11" s="9" t="str">
        <f>IF(F11=0,"TIDAK DIPAKAI",IF(ISNUMBER(G11),"TERISI; BELUM VERIFIKASI","BELUM ADA HARGA"))</f>
        <v>TERISI; BELUM VERIFIKASI</v>
      </c>
    </row>
    <row r="12" spans="1:9" ht="48" customHeight="1">
      <c r="A12" s="4">
        <v>8</v>
      </c>
      <c r="B12" s="4" t="s">
        <v>240</v>
      </c>
      <c r="C12" s="4" t="s">
        <v>241</v>
      </c>
      <c r="D12" s="4" t="s">
        <v>218</v>
      </c>
      <c r="E12" s="4" t="s">
        <v>239</v>
      </c>
      <c r="F12" s="6">
        <v>1</v>
      </c>
      <c r="G12" s="10">
        <v>100000</v>
      </c>
      <c r="H12" s="11">
        <f>IF(AND(ISNUMBER(F12),ISNUMBER(G12)),F12*G12,"")</f>
        <v>100000</v>
      </c>
      <c r="I12" s="9" t="str">
        <f>IF(F12=0,"TIDAK DIPAKAI",IF(ISNUMBER(G12),"TERISI; BELUM VERIFIKASI","BELUM ADA HARGA"))</f>
        <v>TERISI; BELUM VERIFIKASI</v>
      </c>
    </row>
    <row r="13" spans="1:9" ht="48" customHeight="1">
      <c r="A13" s="4">
        <v>9</v>
      </c>
      <c r="B13" s="4" t="s">
        <v>242</v>
      </c>
      <c r="C13" s="4" t="s">
        <v>243</v>
      </c>
      <c r="D13" s="4" t="s">
        <v>244</v>
      </c>
      <c r="E13" s="4" t="s">
        <v>245</v>
      </c>
      <c r="F13" s="6">
        <v>1</v>
      </c>
      <c r="G13" s="10">
        <v>75000</v>
      </c>
      <c r="H13" s="11">
        <f>IF(AND(ISNUMBER(F13),ISNUMBER(G13)),F13*G13,"")</f>
        <v>75000</v>
      </c>
      <c r="I13" s="9" t="str">
        <f>IF(F13=0,"TIDAK DIPAKAI",IF(ISNUMBER(G13),"TERISI; BELUM VERIFIKASI","BELUM ADA HARGA"))</f>
        <v>TERISI; BELUM VERIFIKASI</v>
      </c>
    </row>
    <row r="14" spans="1:9" ht="48" customHeight="1">
      <c r="A14" s="4">
        <v>10</v>
      </c>
      <c r="B14" s="4" t="s">
        <v>246</v>
      </c>
      <c r="C14" s="4" t="s">
        <v>247</v>
      </c>
      <c r="D14" s="4" t="s">
        <v>248</v>
      </c>
      <c r="E14" s="4" t="s">
        <v>239</v>
      </c>
      <c r="F14" s="6">
        <v>1</v>
      </c>
      <c r="G14" s="10">
        <v>150000</v>
      </c>
      <c r="H14" s="11">
        <f>IF(AND(ISNUMBER(F14),ISNUMBER(G14)),F14*G14,"")</f>
        <v>150000</v>
      </c>
      <c r="I14" s="9" t="str">
        <f>IF(F14=0,"TIDAK DIPAKAI",IF(ISNUMBER(G14),"TERISI; BELUM VERIFIKASI","BELUM ADA HARGA"))</f>
        <v>TERISI; BELUM VERIFIKASI</v>
      </c>
    </row>
    <row r="15" spans="1:9" ht="48" customHeight="1">
      <c r="A15" s="4">
        <v>11</v>
      </c>
      <c r="B15" s="4" t="s">
        <v>249</v>
      </c>
      <c r="C15" s="4" t="s">
        <v>250</v>
      </c>
      <c r="D15" s="4" t="s">
        <v>251</v>
      </c>
      <c r="E15" s="4" t="s">
        <v>239</v>
      </c>
      <c r="F15" s="6">
        <v>1</v>
      </c>
      <c r="G15" s="10">
        <v>40000</v>
      </c>
      <c r="H15" s="11">
        <f>IF(AND(ISNUMBER(F15),ISNUMBER(G15)),F15*G15,"")</f>
        <v>40000</v>
      </c>
      <c r="I15" s="9" t="str">
        <f>IF(F15=0,"TIDAK DIPAKAI",IF(ISNUMBER(G15),"TERISI; BELUM VERIFIKASI","BELUM ADA HARGA"))</f>
        <v>TERISI; BELUM VERIFIKASI</v>
      </c>
    </row>
    <row r="16" spans="1:9" ht="48" customHeight="1">
      <c r="A16" s="4">
        <v>12</v>
      </c>
      <c r="B16" s="4" t="s">
        <v>252</v>
      </c>
      <c r="C16" s="4" t="s">
        <v>253</v>
      </c>
      <c r="D16" s="4" t="s">
        <v>254</v>
      </c>
      <c r="E16" s="4" t="s">
        <v>239</v>
      </c>
      <c r="F16" s="6">
        <v>1</v>
      </c>
      <c r="G16" s="10">
        <v>50000</v>
      </c>
      <c r="H16" s="11">
        <f>IF(AND(ISNUMBER(F16),ISNUMBER(G16)),F16*G16,"")</f>
        <v>50000</v>
      </c>
      <c r="I16" s="9" t="str">
        <f>IF(F16=0,"TIDAK DIPAKAI",IF(ISNUMBER(G16),"TERISI; BELUM VERIFIKASI","BELUM ADA HARGA"))</f>
        <v>TERISI; BELUM VERIFIKASI</v>
      </c>
    </row>
    <row r="17" spans="1:9" ht="48" customHeight="1">
      <c r="A17" s="4">
        <v>13</v>
      </c>
      <c r="B17" s="4" t="s">
        <v>255</v>
      </c>
      <c r="C17" s="4" t="s">
        <v>256</v>
      </c>
      <c r="D17" s="4" t="s">
        <v>257</v>
      </c>
      <c r="E17" s="4" t="s">
        <v>245</v>
      </c>
      <c r="F17" s="6">
        <v>1</v>
      </c>
      <c r="G17" s="10">
        <v>150000</v>
      </c>
      <c r="H17" s="11">
        <f>IF(AND(ISNUMBER(F17),ISNUMBER(G17)),F17*G17,"")</f>
        <v>150000</v>
      </c>
      <c r="I17" s="9" t="str">
        <f>IF(F17=0,"TIDAK DIPAKAI",IF(ISNUMBER(G17),"TERISI; BELUM VERIFIKASI","BELUM ADA HARGA"))</f>
        <v>TERISI; BELUM VERIFIKASI</v>
      </c>
    </row>
    <row r="18" spans="1:9" ht="48" customHeight="1">
      <c r="A18" s="4">
        <v>14</v>
      </c>
      <c r="B18" s="4" t="s">
        <v>258</v>
      </c>
      <c r="C18" s="4" t="s">
        <v>259</v>
      </c>
      <c r="D18" s="4" t="s">
        <v>260</v>
      </c>
      <c r="E18" s="4" t="s">
        <v>245</v>
      </c>
      <c r="F18" s="6">
        <v>1</v>
      </c>
      <c r="G18" s="10">
        <v>100000</v>
      </c>
      <c r="H18" s="11">
        <f>IF(AND(ISNUMBER(F18),ISNUMBER(G18)),F18*G18,"")</f>
        <v>100000</v>
      </c>
      <c r="I18" s="9" t="str">
        <f>IF(F18=0,"TIDAK DIPAKAI",IF(ISNUMBER(G18),"TERISI; BELUM VERIFIKASI","BELUM ADA HARGA"))</f>
        <v>TERISI; BELUM VERIFIKASI</v>
      </c>
    </row>
    <row r="19" spans="1:9" ht="48" customHeight="1">
      <c r="A19" s="4">
        <v>15</v>
      </c>
      <c r="B19" s="4" t="s">
        <v>261</v>
      </c>
      <c r="C19" s="4" t="s">
        <v>262</v>
      </c>
      <c r="D19" s="4" t="s">
        <v>263</v>
      </c>
      <c r="E19" s="4" t="s">
        <v>223</v>
      </c>
      <c r="F19" s="6">
        <v>1</v>
      </c>
      <c r="G19" s="10"/>
      <c r="H19" s="11">
        <f>IF(AND(ISNUMBER(F19),ISNUMBER(G19)),F19*G19,"")</f>
        <v/>
      </c>
      <c r="I19" s="9" t="str">
        <f>IF(F19=0,"TIDAK DIPAKAI",IF(ISNUMBER(G19),"TERISI; BELUM VERIFIKASI","BELUM ADA HARGA"))</f>
        <v>BELUM ADA HARGA</v>
      </c>
    </row>
    <row r="20" spans="1:9" ht="48" customHeight="1">
      <c r="A20" s="4">
        <v>16</v>
      </c>
      <c r="B20" s="4" t="s">
        <v>264</v>
      </c>
      <c r="C20" s="4" t="s">
        <v>265</v>
      </c>
      <c r="D20" s="4" t="s">
        <v>266</v>
      </c>
      <c r="E20" s="4" t="s">
        <v>223</v>
      </c>
      <c r="F20" s="6">
        <v>0</v>
      </c>
      <c r="G20" s="10"/>
      <c r="H20" s="11">
        <f>IF(AND(ISNUMBER(F20),ISNUMBER(G20)),F20*G20,"")</f>
        <v/>
      </c>
      <c r="I20" s="9" t="str">
        <f>IF(F20=0,"TIDAK DIPAKAI",IF(ISNUMBER(G20),"TERISI; BELUM VERIFIKASI","BELUM ADA HARGA"))</f>
        <v>TIDAK DIPAKAI</v>
      </c>
    </row>
    <row r="21" spans="1:9" ht="48" customHeight="1">
      <c r="A21" s="4">
        <v>17</v>
      </c>
      <c r="B21" s="4" t="s">
        <v>267</v>
      </c>
      <c r="C21" s="4" t="s">
        <v>268</v>
      </c>
      <c r="D21" s="4" t="s">
        <v>269</v>
      </c>
      <c r="E21" s="4" t="s">
        <v>239</v>
      </c>
      <c r="F21" s="6">
        <v>1</v>
      </c>
      <c r="G21" s="10"/>
      <c r="H21" s="11">
        <f>IF(AND(ISNUMBER(F21),ISNUMBER(G21)),F21*G21,"")</f>
        <v/>
      </c>
      <c r="I21" s="9" t="str">
        <f>IF(F21=0,"TIDAK DIPAKAI",IF(ISNUMBER(G21),"TERISI; BELUM VERIFIKASI","BELUM ADA HARGA"))</f>
        <v>BELUM ADA HARGA</v>
      </c>
    </row>
    <row r="22" spans="1:9" ht="48" customHeight="1">
      <c r="A22" s="4">
        <v>18</v>
      </c>
      <c r="B22" s="4" t="s">
        <v>270</v>
      </c>
      <c r="C22" s="4" t="s">
        <v>271</v>
      </c>
      <c r="D22" s="4" t="s">
        <v>272</v>
      </c>
      <c r="E22" s="4" t="s">
        <v>239</v>
      </c>
      <c r="F22" s="6">
        <v>1</v>
      </c>
      <c r="G22" s="10"/>
      <c r="H22" s="11">
        <f>IF(AND(ISNUMBER(F22),ISNUMBER(G22)),F22*G22,"")</f>
        <v/>
      </c>
      <c r="I22" s="9" t="str">
        <f>IF(F22=0,"TIDAK DIPAKAI",IF(ISNUMBER(G22),"TERISI; BELUM VERIFIKASI","BELUM ADA HARGA"))</f>
        <v>BELUM ADA HARGA</v>
      </c>
    </row>
    <row r="23" spans="1:9" ht="48" customHeight="1">
      <c r="A23" s="4">
        <v>19</v>
      </c>
      <c r="B23" s="4" t="s">
        <v>273</v>
      </c>
      <c r="C23" s="4" t="s">
        <v>274</v>
      </c>
      <c r="D23" s="4" t="s">
        <v>251</v>
      </c>
      <c r="E23" s="4" t="s">
        <v>239</v>
      </c>
      <c r="F23" s="6">
        <v>1</v>
      </c>
      <c r="G23" s="10"/>
      <c r="H23" s="11">
        <f>IF(AND(ISNUMBER(F23),ISNUMBER(G23)),F23*G23,"")</f>
        <v/>
      </c>
      <c r="I23" s="9" t="str">
        <f>IF(F23=0,"TIDAK DIPAKAI",IF(ISNUMBER(G23),"TERISI; BELUM VERIFIKASI","BELUM ADA HARGA"))</f>
        <v>BELUM ADA HARGA</v>
      </c>
    </row>
    <row r="24" spans="1:9" ht="48" customHeight="1">
      <c r="A24" s="4">
        <v>20</v>
      </c>
      <c r="B24" s="4" t="s">
        <v>275</v>
      </c>
      <c r="C24" s="4" t="s">
        <v>276</v>
      </c>
      <c r="D24" s="4" t="s">
        <v>277</v>
      </c>
      <c r="E24" s="4" t="s">
        <v>239</v>
      </c>
      <c r="F24" s="6">
        <v>1</v>
      </c>
      <c r="G24" s="10"/>
      <c r="H24" s="11">
        <f>IF(AND(ISNUMBER(F24),ISNUMBER(G24)),F24*G24,"")</f>
        <v/>
      </c>
      <c r="I24" s="9" t="str">
        <f>IF(F24=0,"TIDAK DIPAKAI",IF(ISNUMBER(G24),"TERISI; BELUM VERIFIKASI","BELUM ADA HARGA"))</f>
        <v>BELUM ADA HARGA</v>
      </c>
    </row>
    <row r="25" spans="1:9" ht="48" customHeight="1">
      <c r="A25" s="4">
        <v>21</v>
      </c>
      <c r="B25" s="4" t="s">
        <v>278</v>
      </c>
      <c r="C25" s="4" t="s">
        <v>279</v>
      </c>
      <c r="D25" s="4" t="s">
        <v>280</v>
      </c>
      <c r="E25" s="4" t="s">
        <v>239</v>
      </c>
      <c r="F25" s="6">
        <v>1</v>
      </c>
      <c r="G25" s="10"/>
      <c r="H25" s="11">
        <f>IF(AND(ISNUMBER(F25),ISNUMBER(G25)),F25*G25,"")</f>
        <v/>
      </c>
      <c r="I25" s="9" t="str">
        <f>IF(F25=0,"TIDAK DIPAKAI",IF(ISNUMBER(G25),"TERISI; BELUM VERIFIKASI","BELUM ADA HARGA"))</f>
        <v>BELUM ADA HARGA</v>
      </c>
    </row>
    <row r="26" spans="1:9" ht="48" customHeight="1">
      <c r="A26" s="4">
        <v>22</v>
      </c>
      <c r="B26" s="4" t="s">
        <v>281</v>
      </c>
      <c r="C26" s="4" t="s">
        <v>282</v>
      </c>
      <c r="D26" s="4" t="s">
        <v>283</v>
      </c>
      <c r="E26" s="4" t="s">
        <v>239</v>
      </c>
      <c r="F26" s="6">
        <v>1</v>
      </c>
      <c r="G26" s="10"/>
      <c r="H26" s="11">
        <f>IF(AND(ISNUMBER(F26),ISNUMBER(G26)),F26*G26,"")</f>
        <v/>
      </c>
      <c r="I26" s="9" t="str">
        <f>IF(F26=0,"TIDAK DIPAKAI",IF(ISNUMBER(G26),"TERISI; BELUM VERIFIKASI","BELUM ADA HARGA"))</f>
        <v>BELUM ADA HARGA</v>
      </c>
    </row>
    <row r="27" spans="1:9" ht="48" customHeight="1">
      <c r="A27" s="4">
        <v>23</v>
      </c>
      <c r="B27" s="4" t="s">
        <v>284</v>
      </c>
      <c r="C27" s="4" t="s">
        <v>285</v>
      </c>
      <c r="D27" s="4" t="s">
        <v>251</v>
      </c>
      <c r="E27" s="4" t="s">
        <v>239</v>
      </c>
      <c r="F27" s="6">
        <v>1</v>
      </c>
      <c r="G27" s="10"/>
      <c r="H27" s="11">
        <f>IF(AND(ISNUMBER(F27),ISNUMBER(G27)),F27*G27,"")</f>
        <v/>
      </c>
      <c r="I27" s="9" t="str">
        <f>IF(F27=0,"TIDAK DIPAKAI",IF(ISNUMBER(G27),"TERISI; BELUM VERIFIKASI","BELUM ADA HARGA"))</f>
        <v>BELUM ADA HARGA</v>
      </c>
    </row>
    <row r="28" spans="1:9" ht="48" customHeight="1">
      <c r="A28" s="4">
        <v>24</v>
      </c>
      <c r="B28" s="4" t="s">
        <v>286</v>
      </c>
      <c r="C28" s="4" t="s">
        <v>287</v>
      </c>
      <c r="D28" s="4" t="s">
        <v>288</v>
      </c>
      <c r="E28" s="4" t="s">
        <v>245</v>
      </c>
      <c r="F28" s="6">
        <v>1</v>
      </c>
      <c r="G28" s="10"/>
      <c r="H28" s="11">
        <f>IF(AND(ISNUMBER(F28),ISNUMBER(G28)),F28*G28,"")</f>
        <v/>
      </c>
      <c r="I28" s="9" t="str">
        <f>IF(F28=0,"TIDAK DIPAKAI",IF(ISNUMBER(G28),"TERISI; BELUM VERIFIKASI","BELUM ADA HARGA"))</f>
        <v>BELUM ADA HARGA</v>
      </c>
    </row>
    <row r="30" spans="1:9">
      <c r="G30" s="3" t="s">
        <v>289</v>
      </c>
      <c r="H30" s="11">
        <f>SUM(H5:H28)</f>
        <v>2425000</v>
      </c>
    </row>
    <row r="31" spans="1:9">
      <c r="G31" s="3" t="s">
        <v>290</v>
      </c>
      <c r="H31" s="11">
        <f>H30*'01_Input'!C33</f>
        <v>363750.0</v>
      </c>
    </row>
    <row r="32" spans="1:9">
      <c r="G32" s="3" t="s">
        <v>291</v>
      </c>
      <c r="H32" s="11">
        <f>SUM(H30:H31)</f>
        <v>2788750.0</v>
      </c>
    </row>
    <row r="33" spans="1:9">
      <c r="G33" s="3" t="s">
        <v>292</v>
      </c>
      <c r="H33" s="8">
        <f>COUNTIFS(F5:F28,"&gt;0",G5:G28,"")</f>
        <v>9</v>
      </c>
    </row>
    <row r="35" spans="1:9">
      <c r="A35" s="5" t="s">
        <v>293</v>
      </c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8" spans="1:9">
      <c r="G38" s="3" t="s">
        <v>354</v>
      </c>
      <c r="H38" s="11">
        <f>'01_Input'!C39</f>
        <v>2500000</v>
      </c>
    </row>
    <row r="39" spans="1:9">
      <c r="G39" s="3" t="s">
        <v>355</v>
      </c>
      <c r="H39" s="11">
        <f>'01_Input'!C39-H30</f>
        <v>75000</v>
      </c>
    </row>
    <row r="40" spans="1:9">
      <c r="G40" s="3" t="s">
        <v>356</v>
      </c>
      <c r="H40" s="11">
        <f>'01_Input'!C39-H32</f>
        <v>-288750.0</v>
      </c>
    </row>
    <row r="42" spans="1:9">
      <c r="A42" s="5" t="s">
        <v>357</v>
      </c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</sheetData>
  <autoFilter ref="A4:I28"/>
  <mergeCells count="4">
    <mergeCell ref="A1:I1"/>
    <mergeCell ref="A2:I2"/>
    <mergeCell ref="A35:I36"/>
    <mergeCell ref="A42:I43"/>
  </mergeCells>
  <dataValidations count="24">
    <dataValidation type="decimal" operator="greaterThanOrEqual" allowBlank="1" showInputMessage="1" showErrorMessage="1" error="Masukkan jumlah/harga nol atau positif." sqref="F5:G5">
      <formula1>0</formula1>
    </dataValidation>
    <dataValidation type="decimal" operator="greaterThanOrEqual" allowBlank="1" showInputMessage="1" showErrorMessage="1" error="Masukkan jumlah/harga nol atau positif." sqref="F6:G6">
      <formula1>0</formula1>
    </dataValidation>
    <dataValidation type="decimal" operator="greaterThanOrEqual" allowBlank="1" showInputMessage="1" showErrorMessage="1" error="Masukkan jumlah/harga nol atau positif." sqref="F7:G7">
      <formula1>0</formula1>
    </dataValidation>
    <dataValidation type="decimal" operator="greaterThanOrEqual" allowBlank="1" showInputMessage="1" showErrorMessage="1" error="Masukkan jumlah/harga nol atau positif." sqref="F8:G8">
      <formula1>0</formula1>
    </dataValidation>
    <dataValidation type="decimal" operator="greaterThanOrEqual" allowBlank="1" showInputMessage="1" showErrorMessage="1" error="Masukkan jumlah/harga nol atau positif." sqref="F9:G9">
      <formula1>0</formula1>
    </dataValidation>
    <dataValidation type="decimal" operator="greaterThanOrEqual" allowBlank="1" showInputMessage="1" showErrorMessage="1" error="Masukkan jumlah/harga nol atau positif." sqref="F10:G10">
      <formula1>0</formula1>
    </dataValidation>
    <dataValidation type="decimal" operator="greaterThanOrEqual" allowBlank="1" showInputMessage="1" showErrorMessage="1" error="Masukkan jumlah/harga nol atau positif." sqref="F11:G11">
      <formula1>0</formula1>
    </dataValidation>
    <dataValidation type="decimal" operator="greaterThanOrEqual" allowBlank="1" showInputMessage="1" showErrorMessage="1" error="Masukkan jumlah/harga nol atau positif." sqref="F12:G12">
      <formula1>0</formula1>
    </dataValidation>
    <dataValidation type="decimal" operator="greaterThanOrEqual" allowBlank="1" showInputMessage="1" showErrorMessage="1" error="Masukkan jumlah/harga nol atau positif." sqref="F13:G13">
      <formula1>0</formula1>
    </dataValidation>
    <dataValidation type="decimal" operator="greaterThanOrEqual" allowBlank="1" showInputMessage="1" showErrorMessage="1" error="Masukkan jumlah/harga nol atau positif." sqref="F14:G14">
      <formula1>0</formula1>
    </dataValidation>
    <dataValidation type="decimal" operator="greaterThanOrEqual" allowBlank="1" showInputMessage="1" showErrorMessage="1" error="Masukkan jumlah/harga nol atau positif." sqref="F15:G15">
      <formula1>0</formula1>
    </dataValidation>
    <dataValidation type="decimal" operator="greaterThanOrEqual" allowBlank="1" showInputMessage="1" showErrorMessage="1" error="Masukkan jumlah/harga nol atau positif." sqref="F16:G16">
      <formula1>0</formula1>
    </dataValidation>
    <dataValidation type="decimal" operator="greaterThanOrEqual" allowBlank="1" showInputMessage="1" showErrorMessage="1" error="Masukkan jumlah/harga nol atau positif." sqref="F17:G17">
      <formula1>0</formula1>
    </dataValidation>
    <dataValidation type="decimal" operator="greaterThanOrEqual" allowBlank="1" showInputMessage="1" showErrorMessage="1" error="Masukkan jumlah/harga nol atau positif." sqref="F18:G18">
      <formula1>0</formula1>
    </dataValidation>
    <dataValidation type="decimal" operator="greaterThanOrEqual" allowBlank="1" showInputMessage="1" showErrorMessage="1" error="Masukkan jumlah/harga nol atau positif." sqref="F19:G19">
      <formula1>0</formula1>
    </dataValidation>
    <dataValidation type="decimal" operator="greaterThanOrEqual" allowBlank="1" showInputMessage="1" showErrorMessage="1" error="Masukkan jumlah/harga nol atau positif." sqref="F20:G20">
      <formula1>0</formula1>
    </dataValidation>
    <dataValidation type="decimal" operator="greaterThanOrEqual" allowBlank="1" showInputMessage="1" showErrorMessage="1" error="Masukkan jumlah/harga nol atau positif." sqref="F21:G21">
      <formula1>0</formula1>
    </dataValidation>
    <dataValidation type="decimal" operator="greaterThanOrEqual" allowBlank="1" showInputMessage="1" showErrorMessage="1" error="Masukkan jumlah/harga nol atau positif." sqref="F22:G22">
      <formula1>0</formula1>
    </dataValidation>
    <dataValidation type="decimal" operator="greaterThanOrEqual" allowBlank="1" showInputMessage="1" showErrorMessage="1" error="Masukkan jumlah/harga nol atau positif." sqref="F23:G23">
      <formula1>0</formula1>
    </dataValidation>
    <dataValidation type="decimal" operator="greaterThanOrEqual" allowBlank="1" showInputMessage="1" showErrorMessage="1" error="Masukkan jumlah/harga nol atau positif." sqref="F24:G24">
      <formula1>0</formula1>
    </dataValidation>
    <dataValidation type="decimal" operator="greaterThanOrEqual" allowBlank="1" showInputMessage="1" showErrorMessage="1" error="Masukkan jumlah/harga nol atau positif." sqref="F25:G25">
      <formula1>0</formula1>
    </dataValidation>
    <dataValidation type="decimal" operator="greaterThanOrEqual" allowBlank="1" showInputMessage="1" showErrorMessage="1" error="Masukkan jumlah/harga nol atau positif." sqref="F26:G26">
      <formula1>0</formula1>
    </dataValidation>
    <dataValidation type="decimal" operator="greaterThanOrEqual" allowBlank="1" showInputMessage="1" showErrorMessage="1" error="Masukkan jumlah/harga nol atau positif." sqref="F27:G27">
      <formula1>0</formula1>
    </dataValidation>
    <dataValidation type="decimal" operator="greaterThanOrEqual" allowBlank="1" showInputMessage="1" showErrorMessage="1" error="Masukkan jumlah/harga nol atau positif." sqref="F28:G28">
      <formula1>0</formula1>
    </dataValidation>
  </dataValidation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2.7109375" customWidth="1"/>
    <col min="2" max="2" width="24.7109375" customWidth="1"/>
    <col min="3" max="3" width="25.7109375" customWidth="1"/>
    <col min="4" max="4" width="50.7109375" customWidth="1"/>
    <col min="5" max="5" width="40.7109375" customWidth="1"/>
  </cols>
  <sheetData>
    <row r="1" spans="1:5" ht="30" customHeight="1">
      <c r="A1" s="1" t="s">
        <v>294</v>
      </c>
      <c r="B1" s="1"/>
      <c r="C1" s="1"/>
      <c r="D1" s="1"/>
      <c r="E1" s="1"/>
    </row>
    <row r="2" spans="1:5" ht="35" customHeight="1">
      <c r="A2" s="2" t="s">
        <v>295</v>
      </c>
      <c r="B2" s="2"/>
      <c r="C2" s="2"/>
      <c r="D2" s="2"/>
      <c r="E2" s="2"/>
    </row>
    <row r="4" spans="1:5" ht="30" customHeight="1">
      <c r="A4" s="3" t="s">
        <v>296</v>
      </c>
      <c r="B4" s="3" t="s">
        <v>297</v>
      </c>
      <c r="C4" s="3" t="s">
        <v>5</v>
      </c>
      <c r="D4" s="3" t="s">
        <v>298</v>
      </c>
      <c r="E4" s="3" t="s">
        <v>299</v>
      </c>
    </row>
    <row r="5" spans="1:5" ht="29" customHeight="1">
      <c r="A5" s="4" t="s">
        <v>300</v>
      </c>
      <c r="B5" s="8">
        <f>IF('02_Volume'!B5="","",'02_Volume'!B5)</f>
        <v>62.83185307179587</v>
      </c>
      <c r="C5" s="4" t="s">
        <v>16</v>
      </c>
    </row>
    <row r="6" spans="1:5" ht="29" customHeight="1">
      <c r="A6" s="4" t="s">
        <v>301</v>
      </c>
      <c r="B6" s="8">
        <f>IF('02_Volume'!B6="","",'02_Volume'!B6)</f>
        <v>31.415926535897935</v>
      </c>
      <c r="C6" s="4" t="s">
        <v>149</v>
      </c>
    </row>
    <row r="7" spans="1:5" ht="29" customHeight="1">
      <c r="A7" s="4" t="s">
        <v>302</v>
      </c>
      <c r="B7" s="8">
        <f>IF('02_Volume'!B11="","",'02_Volume'!B11)</f>
        <v>1.5707963267948968</v>
      </c>
      <c r="C7" s="4" t="s">
        <v>116</v>
      </c>
    </row>
    <row r="8" spans="1:5" ht="29" customHeight="1">
      <c r="A8" s="4" t="s">
        <v>303</v>
      </c>
      <c r="B8" s="8">
        <f>IF('03_Proses'!B5="","",'03_Proses'!B5)</f>
        <v>20</v>
      </c>
      <c r="C8" s="4" t="s">
        <v>126</v>
      </c>
    </row>
    <row r="9" spans="1:5" ht="29" customHeight="1">
      <c r="A9" s="4" t="s">
        <v>141</v>
      </c>
      <c r="B9" s="8">
        <f>IF('03_Proses'!B9="","",'03_Proses'!B9)</f>
        <v>14.13716694115407</v>
      </c>
      <c r="C9" s="4" t="s">
        <v>142</v>
      </c>
    </row>
    <row r="10" spans="1:5" ht="29" customHeight="1">
      <c r="A10" s="4" t="s">
        <v>304</v>
      </c>
      <c r="B10" s="8">
        <f>IF('03_Proses'!B11="","",'03_Proses'!B11)</f>
        <v>1.5707963267948972</v>
      </c>
      <c r="C10" s="4" t="s">
        <v>149</v>
      </c>
    </row>
    <row r="11" spans="1:5" ht="29" customHeight="1">
      <c r="A11" s="4" t="s">
        <v>305</v>
      </c>
      <c r="B11" s="8">
        <f>IF('03_Proses'!B13="","",'03_Proses'!B13)</f>
        <v>3.141592653589794</v>
      </c>
      <c r="C11" s="4" t="s">
        <v>116</v>
      </c>
    </row>
    <row r="12" spans="1:5" ht="29" customHeight="1">
      <c r="A12" s="4" t="s">
        <v>168</v>
      </c>
      <c r="B12" s="8">
        <f>IF('04_Transmisi'!B5="","",'04_Transmisi'!B5)</f>
        <v>28.0</v>
      </c>
      <c r="C12" s="4" t="s">
        <v>51</v>
      </c>
    </row>
    <row r="13" spans="1:5" ht="29" customHeight="1">
      <c r="A13" s="4" t="s">
        <v>306</v>
      </c>
      <c r="B13" s="9">
        <f>IF('04_Transmisi'!B11="","",'04_Transmisi'!B11)</f>
        <v/>
      </c>
      <c r="C13" s="4" t="s">
        <v>307</v>
      </c>
    </row>
    <row r="14" spans="1:5" ht="29" customHeight="1">
      <c r="A14" s="4" t="s">
        <v>308</v>
      </c>
      <c r="B14" s="9" t="str">
        <f>IF('04_Transmisi'!B16="","",'04_Transmisi'!B16)</f>
        <v>BELUM DAPAT DINILAI</v>
      </c>
      <c r="C14" s="4" t="s">
        <v>120</v>
      </c>
    </row>
    <row r="17" spans="1:5">
      <c r="A17" s="4" t="s">
        <v>309</v>
      </c>
      <c r="B17" s="11">
        <f>'05_RAB'!H32</f>
        <v>2788750.0</v>
      </c>
      <c r="C17" s="4" t="s">
        <v>310</v>
      </c>
    </row>
    <row r="18" spans="1:5">
      <c r="A18" s="4" t="s">
        <v>311</v>
      </c>
      <c r="B18" s="8">
        <f>'05_RAB'!H33</f>
        <v>9</v>
      </c>
      <c r="C18" s="4" t="s">
        <v>312</v>
      </c>
    </row>
    <row r="20" spans="1:5">
      <c r="A20" s="5" t="s">
        <v>313</v>
      </c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4" spans="1:5">
      <c r="A24" s="5" t="s">
        <v>358</v>
      </c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</sheetData>
  <mergeCells count="4">
    <mergeCell ref="A1:E1"/>
    <mergeCell ref="A2:E2"/>
    <mergeCell ref="A20:E22"/>
    <mergeCell ref="A24:E26"/>
  </mergeCells>
  <pageMargins left="0.25" right="0.25" top="0.35" bottom="0.35" header="0.3" footer="0.3"/>
  <pageSetup paperSize="9" fitToHeight="0" orientation="landscape"/>
  <headerFooter>
    <oddFooter>&amp;LKomposter daun kering&amp;RHalaman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00_Petunjuk</vt:lpstr>
      <vt:lpstr>01_Input</vt:lpstr>
      <vt:lpstr>02_Volume</vt:lpstr>
      <vt:lpstr>03_Proses</vt:lpstr>
      <vt:lpstr>04_Transmisi</vt:lpstr>
      <vt:lpstr>05_RAB</vt:lpstr>
      <vt:lpstr>06_Ringkasan</vt:lpstr>
      <vt:lpstr>'00_Petunjuk'!Print_Titles</vt:lpstr>
      <vt:lpstr>'01_Input'!Print_Titles</vt:lpstr>
      <vt:lpstr>'02_Volume'!Print_Titles</vt:lpstr>
      <vt:lpstr>'03_Proses'!Print_Titles</vt:lpstr>
      <vt:lpstr>'04_Transmisi'!Print_Titles</vt:lpstr>
      <vt:lpstr>'05_RAB'!Print_Titles</vt:lpstr>
      <vt:lpstr>'06_Ringkasan'!Print_Titles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Perencanaan Komposter Daun Kering</dc:title>
  <dc:subject>Input, perhitungan awal dan RAB</dc:subject>
  <dc:creator>Perencanaan Capstone</dc:creator>
  <cp:lastModifiedBy>Perencanaan Capstone</cp:lastModifiedBy>
  <dcterms:created xsi:type="dcterms:W3CDTF">2026-10-24T07:07:15Z</dcterms:created>
  <dcterms:modified xsi:type="dcterms:W3CDTF">2026-10-24T07:07:15Z</dcterms:modified>
</cp:coreProperties>
</file>